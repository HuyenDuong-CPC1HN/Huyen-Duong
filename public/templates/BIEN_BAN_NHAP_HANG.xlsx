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IEN BAN NHAP HANG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<sst xmlns="http://schemas.openxmlformats.org/spreadsheetml/2006/main" count="416" uniqueCount="297">
  <si>
    <t xml:space="preserve">CÔNG TY CP DƯỢC PHẨM CPC1 HÀ NỘI</t>
  </si>
  <si>
    <t xml:space="preserve">Chi nhánh Hồ Chí Minh - Bộ phận Kho</t>
  </si>
  <si>
    <t xml:space="preserve">BIÊN BẢN NHẬP HÀNG</t>
  </si>
  <si>
    <t xml:space="preserve">Ngày nhập hàng:</t>
  </si>
  <si>
    <t xml:space="preserve">28/08/2026</t>
  </si>
  <si>
    <t xml:space="preserve">Bên giao hàng:</t>
  </si>
  <si>
    <t xml:space="preserve">Công ty CP Dược phẩm CPC1 Hà Nội (theo BB giao nhận ngày 28/08/2026)</t>
  </si>
  <si>
    <t xml:space="preserve">Bên vận chuyển:</t>
  </si>
  <si>
    <t xml:space="preserve">Vận tải 24h - Lái xe: Đặng Thanh Hải - SĐT: 0979694941 - Xe: 29E-785.54</t>
  </si>
  <si>
    <t xml:space="preserve">Bên nhận hàng:</t>
  </si>
  <si>
    <t xml:space="preserve">CPC1 Hà Nội - Chi nhánh Hồ Chí Minh</t>
  </si>
  <si>
    <t xml:space="preserve">Người nhận hàng (thủ kho):</t>
  </si>
  <si>
    <t xml:space="preserve">STT</t>
  </si>
  <si>
    <t xml:space="preserve">Mã hàng</t>
  </si>
  <si>
    <t xml:space="preserve">Tên hàng hóa</t>
  </si>
  <si>
    <t xml:space="preserve">ĐVT</t>
  </si>
  <si>
    <t xml:space="preserve">Số lô</t>
  </si>
  <si>
    <t xml:space="preserve">Hạn dùng</t>
  </si>
  <si>
    <t xml:space="preserve">Số lượng
(Hóa đơn)</t>
  </si>
  <si>
    <t xml:space="preserve">Số lượng
(Thực tế)</t>
  </si>
  <si>
    <t xml:space="preserve">Chênh lệch
(Thừa)</t>
  </si>
  <si>
    <t xml:space="preserve">Chênh lệch
(Thiếu)</t>
  </si>
  <si>
    <t xml:space="preserve">Ghi chú tình trạng</t>
  </si>
  <si>
    <t xml:space="preserve">Hàng D</t>
  </si>
  <si>
    <t xml:space="preserve">A01841</t>
  </si>
  <si>
    <t xml:space="preserve">Aricamun Facial Cleanser - Tuýp 100ml 603</t>
  </si>
  <si>
    <t xml:space="preserve">TUYP</t>
  </si>
  <si>
    <t xml:space="preserve">F00507</t>
  </si>
  <si>
    <t xml:space="preserve">Falgankid - Hộp 4 vỉ x 5 ống 10ml</t>
  </si>
  <si>
    <t xml:space="preserve">ONG</t>
  </si>
  <si>
    <t xml:space="preserve">010526</t>
  </si>
  <si>
    <t xml:space="preserve">D01057</t>
  </si>
  <si>
    <t xml:space="preserve">Dismolan - Hộp 4 vỉ x 5 ống 10ml</t>
  </si>
  <si>
    <t xml:space="preserve">010526GMP</t>
  </si>
  <si>
    <t xml:space="preserve">H00902</t>
  </si>
  <si>
    <t xml:space="preserve">Hylaform 0,1% - Hộp 1 ống 5ml</t>
  </si>
  <si>
    <t xml:space="preserve">020526</t>
  </si>
  <si>
    <t xml:space="preserve">B01514</t>
  </si>
  <si>
    <t xml:space="preserve">Bometan - Hộp 1 tuýp 10g</t>
  </si>
  <si>
    <t xml:space="preserve">15001</t>
  </si>
  <si>
    <t xml:space="preserve">C01991</t>
  </si>
  <si>
    <t xml:space="preserve">Cystin cap - lọ 60 viên</t>
  </si>
  <si>
    <t xml:space="preserve">LO</t>
  </si>
  <si>
    <t xml:space="preserve">11526G02</t>
  </si>
  <si>
    <t xml:space="preserve">C02334</t>
  </si>
  <si>
    <t xml:space="preserve">Companity - Hộp 20 gói 15ml</t>
  </si>
  <si>
    <t xml:space="preserve">GOI</t>
  </si>
  <si>
    <t xml:space="preserve">11726F01</t>
  </si>
  <si>
    <t xml:space="preserve">2029-06-15</t>
  </si>
  <si>
    <t xml:space="preserve">11726F02</t>
  </si>
  <si>
    <t xml:space="preserve">C02348</t>
  </si>
  <si>
    <t xml:space="preserve">Cloram Drop 0.5% - Hộp 4 vỉ x 5 lọ 1ml</t>
  </si>
  <si>
    <t xml:space="preserve">011225.SDKM</t>
  </si>
  <si>
    <t xml:space="preserve">C02452</t>
  </si>
  <si>
    <t xml:space="preserve">Cjel Filatos - Hộp 20 gói 15g</t>
  </si>
  <si>
    <t xml:space="preserve">09126H01</t>
  </si>
  <si>
    <t xml:space="preserve">C02955</t>
  </si>
  <si>
    <t xml:space="preserve">Chảo Inox chống dính</t>
  </si>
  <si>
    <t xml:space="preserve">202606</t>
  </si>
  <si>
    <t xml:space="preserve">D01160</t>
  </si>
  <si>
    <t xml:space="preserve">Dexamoxi - Hộp 1 ống 5ml</t>
  </si>
  <si>
    <t xml:space="preserve">30926H02</t>
  </si>
  <si>
    <t xml:space="preserve">D01349</t>
  </si>
  <si>
    <t xml:space="preserve">Desone - Hộp 1 lọ 30ml</t>
  </si>
  <si>
    <t xml:space="preserve">E00471</t>
  </si>
  <si>
    <t xml:space="preserve">E-Novo - Hộp 2 vỉ x 15 viên</t>
  </si>
  <si>
    <t xml:space="preserve">VIEN</t>
  </si>
  <si>
    <t xml:space="preserve">010326</t>
  </si>
  <si>
    <t xml:space="preserve">F00550</t>
  </si>
  <si>
    <t xml:space="preserve">Fosmitic - Hộp 1 lọ 5ml</t>
  </si>
  <si>
    <t xml:space="preserve">2029-03-17</t>
  </si>
  <si>
    <t xml:space="preserve">F00702</t>
  </si>
  <si>
    <t xml:space="preserve">Felex prefill - Hộp 1 bơm tiêm x 2,5ml</t>
  </si>
  <si>
    <t xml:space="preserve">BOM TIEM</t>
  </si>
  <si>
    <t xml:space="preserve">G00951</t>
  </si>
  <si>
    <t xml:space="preserve">Ginsil - 4 vỉ x 5 ống 5ml</t>
  </si>
  <si>
    <t xml:space="preserve">19726G01</t>
  </si>
  <si>
    <t xml:space="preserve">H04985</t>
  </si>
  <si>
    <t xml:space="preserve">Hexami newlight plus - Hộp 1 vỉ x 5 ống 1ml (HT)</t>
  </si>
  <si>
    <t xml:space="preserve">K00707</t>
  </si>
  <si>
    <t xml:space="preserve">Khăn tắm sợi than tre màu xanh xám (KT: 140x70cm)</t>
  </si>
  <si>
    <t xml:space="preserve">CAI</t>
  </si>
  <si>
    <t xml:space="preserve">KL</t>
  </si>
  <si>
    <t xml:space="preserve">M01070</t>
  </si>
  <si>
    <t xml:space="preserve">Moxieye - Hộp 1 lọ 2ml</t>
  </si>
  <si>
    <t xml:space="preserve">31526F02</t>
  </si>
  <si>
    <t xml:space="preserve">M01225</t>
  </si>
  <si>
    <t xml:space="preserve">Mucome drop - Hộp 1 ống 5ml</t>
  </si>
  <si>
    <t xml:space="preserve">010924</t>
  </si>
  <si>
    <t xml:space="preserve">M01740</t>
  </si>
  <si>
    <t xml:space="preserve">Mucome Baby Spray - Hộp 1 lọ 10ml</t>
  </si>
  <si>
    <t xml:space="preserve">N00946</t>
  </si>
  <si>
    <t xml:space="preserve">Novoliver - Lọ 60 viên</t>
  </si>
  <si>
    <t xml:space="preserve">23026G01</t>
  </si>
  <si>
    <t xml:space="preserve">N01633</t>
  </si>
  <si>
    <t xml:space="preserve">Dung dịch nhỏ mũi Nebusal drops 3% - Hộp 1 lọ 10ml (AG)</t>
  </si>
  <si>
    <t xml:space="preserve">P01299</t>
  </si>
  <si>
    <t xml:space="preserve">Pamol - 4 vỉ x 5 ống 5ml (120mg)</t>
  </si>
  <si>
    <t xml:space="preserve">P01597</t>
  </si>
  <si>
    <t xml:space="preserve">Premical D3,K2 - Hộp 4 vỉ x 5 ống 10 ml</t>
  </si>
  <si>
    <t xml:space="preserve">09826H01</t>
  </si>
  <si>
    <t xml:space="preserve">P01808</t>
  </si>
  <si>
    <t xml:space="preserve">Proges sup 400mg - Hộp 3 vỉ x 5 viên</t>
  </si>
  <si>
    <t xml:space="preserve">1802</t>
  </si>
  <si>
    <t xml:space="preserve">1803</t>
  </si>
  <si>
    <t xml:space="preserve">T01701</t>
  </si>
  <si>
    <t xml:space="preserve">Tobrameson - Hộp 1 ống 5ml</t>
  </si>
  <si>
    <t xml:space="preserve">27726G03</t>
  </si>
  <si>
    <t xml:space="preserve">T01855</t>
  </si>
  <si>
    <t xml:space="preserve">Ketofen Drop - Hộp 10 ống 0.4ml</t>
  </si>
  <si>
    <t xml:space="preserve">020126</t>
  </si>
  <si>
    <t xml:space="preserve">T02858</t>
  </si>
  <si>
    <t xml:space="preserve">Timo drop - Hộp 1 ống 5ml</t>
  </si>
  <si>
    <t xml:space="preserve">010426</t>
  </si>
  <si>
    <t xml:space="preserve">V02592</t>
  </si>
  <si>
    <t xml:space="preserve">Viên đặt pH.Balance - Hộp 1 vỉ 7 viên (NB)</t>
  </si>
  <si>
    <t xml:space="preserve">1002</t>
  </si>
  <si>
    <t xml:space="preserve">Z00230</t>
  </si>
  <si>
    <t xml:space="preserve">Zenace - Hộp 10 ống 10ml</t>
  </si>
  <si>
    <t xml:space="preserve">Z00330</t>
  </si>
  <si>
    <t xml:space="preserve">Zensalbu nebules 2.5 - Hộp 2 vỉ x 5 ống 2.5ml (Ống Vuông)</t>
  </si>
  <si>
    <t xml:space="preserve">30426F05</t>
  </si>
  <si>
    <t xml:space="preserve">2029-06-16</t>
  </si>
  <si>
    <t xml:space="preserve">Z00334</t>
  </si>
  <si>
    <t xml:space="preserve">Zensalbu nebules 5.0 - Hộp 2 vỉ x 5 ống 2.5ml (BFS-R)</t>
  </si>
  <si>
    <t xml:space="preserve">30526F04</t>
  </si>
  <si>
    <t xml:space="preserve">Z00338</t>
  </si>
  <si>
    <t xml:space="preserve">Zensonid - Hộp 10 lọ x 2 ml (BFSR)</t>
  </si>
  <si>
    <t xml:space="preserve">2028-05-05</t>
  </si>
  <si>
    <t xml:space="preserve">A01500</t>
  </si>
  <si>
    <t xml:space="preserve">Actiso Viet - Hộp 4 vỉ x 5 ống 10ml</t>
  </si>
  <si>
    <t xml:space="preserve">03226G04</t>
  </si>
  <si>
    <t xml:space="preserve">B02249</t>
  </si>
  <si>
    <t xml:space="preserve">Baci Nebusal - Hộp 10 ống 3ml (kèm 1 xilanh) AG</t>
  </si>
  <si>
    <t xml:space="preserve">07926E01</t>
  </si>
  <si>
    <t xml:space="preserve">H05082</t>
  </si>
  <si>
    <t xml:space="preserve">Hantra 0.22% - Hộp 4 vỉ x 5 ống 1ml (HT)</t>
  </si>
  <si>
    <t xml:space="preserve">011225</t>
  </si>
  <si>
    <t xml:space="preserve">P01890</t>
  </si>
  <si>
    <t xml:space="preserve">Progermila - Hộp 1 vỉ x 10 ống 5ml</t>
  </si>
  <si>
    <t xml:space="preserve">Z00314</t>
  </si>
  <si>
    <t xml:space="preserve">Zentokid omega3 - Hộp 20 gói 10ml</t>
  </si>
  <si>
    <t xml:space="preserve">020626</t>
  </si>
  <si>
    <t xml:space="preserve">030626</t>
  </si>
  <si>
    <t xml:space="preserve">A01259</t>
  </si>
  <si>
    <t xml:space="preserve">Aricamun - 2 vỉ x 15 viên</t>
  </si>
  <si>
    <t xml:space="preserve">2028-04-23</t>
  </si>
  <si>
    <t xml:space="preserve">A01338</t>
  </si>
  <si>
    <t xml:space="preserve">Afenemi - Hộp 4 vỉ x 5 ống 0.5ml</t>
  </si>
  <si>
    <t xml:space="preserve">28826G01</t>
  </si>
  <si>
    <t xml:space="preserve">2029-06-30</t>
  </si>
  <si>
    <t xml:space="preserve">A01664</t>
  </si>
  <si>
    <t xml:space="preserve">Aritear - Hộp 4 vỉ x 5 ống 0.6g</t>
  </si>
  <si>
    <t xml:space="preserve">010626</t>
  </si>
  <si>
    <t xml:space="preserve">2029-06-01</t>
  </si>
  <si>
    <t xml:space="preserve">B01247</t>
  </si>
  <si>
    <t xml:space="preserve">BFS-Nabica 8.4% - Hộp 10 lọ 10ml</t>
  </si>
  <si>
    <t xml:space="preserve">33626G01</t>
  </si>
  <si>
    <t xml:space="preserve">2028-07-12</t>
  </si>
  <si>
    <t xml:space="preserve">B01304</t>
  </si>
  <si>
    <t xml:space="preserve">BFS-Nicardipin - Hộp 20 lọ nhựa/ túi nhôm 10ml</t>
  </si>
  <si>
    <t xml:space="preserve">18326F01</t>
  </si>
  <si>
    <t xml:space="preserve">2028-06-26</t>
  </si>
  <si>
    <t xml:space="preserve">C02294</t>
  </si>
  <si>
    <t xml:space="preserve">Cotrime-BFS - Hộp 10 lọ 5ml</t>
  </si>
  <si>
    <t xml:space="preserve">011125</t>
  </si>
  <si>
    <t xml:space="preserve">2027-11-14</t>
  </si>
  <si>
    <t xml:space="preserve">D01078</t>
  </si>
  <si>
    <t xml:space="preserve">Dropstar - Hộp 1 ống 10ml</t>
  </si>
  <si>
    <t xml:space="preserve">020426</t>
  </si>
  <si>
    <t xml:space="preserve">2029-04-20</t>
  </si>
  <si>
    <t xml:space="preserve">D01260</t>
  </si>
  <si>
    <t xml:space="preserve">Dexibufen softcap - Hộp 2 vỉ x 15 viên</t>
  </si>
  <si>
    <t xml:space="preserve">19526G01</t>
  </si>
  <si>
    <t xml:space="preserve">2030-07-07</t>
  </si>
  <si>
    <t xml:space="preserve">D01449</t>
  </si>
  <si>
    <t xml:space="preserve">Dtriol - Hộp 4 vỉ x 15 viên</t>
  </si>
  <si>
    <t xml:space="preserve">2028-05-18</t>
  </si>
  <si>
    <t xml:space="preserve">D01502</t>
  </si>
  <si>
    <t xml:space="preserve">Dropstar - 20 ống 0.4ml</t>
  </si>
  <si>
    <t xml:space="preserve">2029-04-15</t>
  </si>
  <si>
    <t xml:space="preserve">D01785</t>
  </si>
  <si>
    <t xml:space="preserve">Dokitam - Hộp 1 lọ 100ml</t>
  </si>
  <si>
    <t xml:space="preserve">21326H01</t>
  </si>
  <si>
    <t xml:space="preserve">2029-08-21</t>
  </si>
  <si>
    <t xml:space="preserve">F00609</t>
  </si>
  <si>
    <t xml:space="preserve">Fungafin - Hộp 1 lọ 15ml</t>
  </si>
  <si>
    <t xml:space="preserve">12226H01</t>
  </si>
  <si>
    <t xml:space="preserve">2028-08-10</t>
  </si>
  <si>
    <t xml:space="preserve">F00629</t>
  </si>
  <si>
    <t xml:space="preserve">Falgankid 25 mg/ml - Hộp 4 vỉ x 5 ống 10ml</t>
  </si>
  <si>
    <t xml:space="preserve">020226GMP</t>
  </si>
  <si>
    <t xml:space="preserve">2029-02-11</t>
  </si>
  <si>
    <t xml:space="preserve">G00821</t>
  </si>
  <si>
    <t xml:space="preserve">Golistin-enema - Hộp 1 lọ 133ml</t>
  </si>
  <si>
    <t xml:space="preserve">13326G05</t>
  </si>
  <si>
    <t xml:space="preserve">2031-07-30</t>
  </si>
  <si>
    <t xml:space="preserve">G00898</t>
  </si>
  <si>
    <t xml:space="preserve">Guacanyl - Hộp 4 vỉ x 5 ống 5ml</t>
  </si>
  <si>
    <t xml:space="preserve">22626F01</t>
  </si>
  <si>
    <t xml:space="preserve">2029-06-11</t>
  </si>
  <si>
    <t xml:space="preserve">G01006</t>
  </si>
  <si>
    <t xml:space="preserve">Golistin Soda - Hộp 1 lọ 45ml</t>
  </si>
  <si>
    <t xml:space="preserve">04526F01</t>
  </si>
  <si>
    <t xml:space="preserve">2029-06-10</t>
  </si>
  <si>
    <t xml:space="preserve">H00852</t>
  </si>
  <si>
    <t xml:space="preserve">Hemotocin - Hộp 10 lọ 1ml</t>
  </si>
  <si>
    <t xml:space="preserve">2029-04-13</t>
  </si>
  <si>
    <t xml:space="preserve">L00763</t>
  </si>
  <si>
    <t xml:space="preserve">Lidocain-BFS 200MG - Hộp 20 lọ 10ml</t>
  </si>
  <si>
    <t xml:space="preserve">051225</t>
  </si>
  <si>
    <t xml:space="preserve">2028-12-15</t>
  </si>
  <si>
    <t xml:space="preserve">L00784</t>
  </si>
  <si>
    <t xml:space="preserve">Laci-eye - Hộp 1 ống 10ml</t>
  </si>
  <si>
    <t xml:space="preserve">2029-05-06</t>
  </si>
  <si>
    <t xml:space="preserve">L01119</t>
  </si>
  <si>
    <t xml:space="preserve">Lotepred - Hộp 1 ống 5ml</t>
  </si>
  <si>
    <t xml:space="preserve">25326F01</t>
  </si>
  <si>
    <t xml:space="preserve">2028-12-16</t>
  </si>
  <si>
    <t xml:space="preserve">L01289</t>
  </si>
  <si>
    <t xml:space="preserve">Linezolid-SB - Túi 300ml</t>
  </si>
  <si>
    <t xml:space="preserve">TUI</t>
  </si>
  <si>
    <t xml:space="preserve">04926G01</t>
  </si>
  <si>
    <t xml:space="preserve">2029-01-15</t>
  </si>
  <si>
    <t xml:space="preserve">M01076</t>
  </si>
  <si>
    <t xml:space="preserve">Moxieye - Hộp 1 lọ 10ml</t>
  </si>
  <si>
    <t xml:space="preserve">31526F01</t>
  </si>
  <si>
    <t xml:space="preserve">2029-06-23</t>
  </si>
  <si>
    <t xml:space="preserve">M01090</t>
  </si>
  <si>
    <t xml:space="preserve">Mucome spray - Hộp 1 lọ 10ml</t>
  </si>
  <si>
    <t xml:space="preserve">010226GMP</t>
  </si>
  <si>
    <t xml:space="preserve">2029-02-01</t>
  </si>
  <si>
    <t xml:space="preserve">M01476</t>
  </si>
  <si>
    <t xml:space="preserve">Micospray - Hộp 1 tuýp 15ml</t>
  </si>
  <si>
    <t xml:space="preserve">22005</t>
  </si>
  <si>
    <t xml:space="preserve">2028-06-30</t>
  </si>
  <si>
    <t xml:space="preserve">22006</t>
  </si>
  <si>
    <t xml:space="preserve">P01191</t>
  </si>
  <si>
    <t xml:space="preserve">Phenhalal - Hộp 4 vỉ x 5 ống 10ml</t>
  </si>
  <si>
    <t xml:space="preserve">2029-04-03</t>
  </si>
  <si>
    <t xml:space="preserve">12626G01</t>
  </si>
  <si>
    <t xml:space="preserve">2029-07-22</t>
  </si>
  <si>
    <t xml:space="preserve">P01481</t>
  </si>
  <si>
    <t xml:space="preserve">Progermila - 4 vỉ x 5 ống 5ml</t>
  </si>
  <si>
    <t xml:space="preserve">030526</t>
  </si>
  <si>
    <t xml:space="preserve">2029-05-15</t>
  </si>
  <si>
    <t xml:space="preserve">32226E05</t>
  </si>
  <si>
    <t xml:space="preserve">2029-05-07</t>
  </si>
  <si>
    <t xml:space="preserve">P01771</t>
  </si>
  <si>
    <t xml:space="preserve">Pred-new - Hộp 4 vỉ x 5 ống 5ml</t>
  </si>
  <si>
    <t xml:space="preserve">16626F01</t>
  </si>
  <si>
    <t xml:space="preserve">2028-12-09</t>
  </si>
  <si>
    <t xml:space="preserve">P01850</t>
  </si>
  <si>
    <t xml:space="preserve">Prafeno inhaler - Hộp 1 bình 200 liều xịt</t>
  </si>
  <si>
    <t xml:space="preserve">BINH</t>
  </si>
  <si>
    <t xml:space="preserve">23626H01</t>
  </si>
  <si>
    <t xml:space="preserve">2028-08-14</t>
  </si>
  <si>
    <t xml:space="preserve">R00376</t>
  </si>
  <si>
    <t xml:space="preserve">Rocuronium-BFS - 5 túi x 1 ống 5ml</t>
  </si>
  <si>
    <t xml:space="preserve">2029-04-24</t>
  </si>
  <si>
    <t xml:space="preserve">S01434</t>
  </si>
  <si>
    <t xml:space="preserve">Sugam-BFS - Hộp 10 ống 2ml</t>
  </si>
  <si>
    <t xml:space="preserve">19426H01GMP</t>
  </si>
  <si>
    <t xml:space="preserve">T01279</t>
  </si>
  <si>
    <t xml:space="preserve">BFS-Tranexamic 500mg/10ml - Hộp 4 vỉ x 5 ống 10ml</t>
  </si>
  <si>
    <t xml:space="preserve">2029-01-27</t>
  </si>
  <si>
    <t xml:space="preserve">T02722</t>
  </si>
  <si>
    <t xml:space="preserve">Tranfast - Hộp 10 gói 73.69g</t>
  </si>
  <si>
    <t xml:space="preserve">170726</t>
  </si>
  <si>
    <t xml:space="preserve">2029-07-12</t>
  </si>
  <si>
    <t xml:space="preserve">180726</t>
  </si>
  <si>
    <t xml:space="preserve">G00817</t>
  </si>
  <si>
    <t xml:space="preserve">Golistin-enema for children - Hộp 1 lọ 66ml</t>
  </si>
  <si>
    <t xml:space="preserve">010426GMP</t>
  </si>
  <si>
    <t xml:space="preserve">L00847</t>
  </si>
  <si>
    <t xml:space="preserve">Laci-eye - Hộp 20 ống 0.4ml</t>
  </si>
  <si>
    <t xml:space="preserve">25726F04</t>
  </si>
  <si>
    <t xml:space="preserve">040526</t>
  </si>
  <si>
    <t xml:space="preserve">B02032</t>
  </si>
  <si>
    <t xml:space="preserve">Bút Bi CPC1HN - Màu trắng (Ball Point Pen)</t>
  </si>
  <si>
    <t xml:space="preserve">R00492</t>
  </si>
  <si>
    <t xml:space="preserve">Ruy băng logo DTP</t>
  </si>
  <si>
    <t xml:space="preserve">27.05.26 KL</t>
  </si>
  <si>
    <t xml:space="preserve">Z00312</t>
  </si>
  <si>
    <t xml:space="preserve">Zentokid ZinC - Hộp 4 vỉ x 5 ống 5ml</t>
  </si>
  <si>
    <t xml:space="preserve">09326H01</t>
  </si>
  <si>
    <t xml:space="preserve">P01825</t>
  </si>
  <si>
    <t xml:space="preserve">Piracetam-SB - Hộp 1 túi 60ml</t>
  </si>
  <si>
    <t xml:space="preserve">26826F02</t>
  </si>
  <si>
    <t xml:space="preserve">26826G01</t>
  </si>
  <si>
    <t xml:space="preserve">TỔNG CỘNG</t>
  </si>
  <si>
    <t xml:space="preserve">Biên bản được lập thành các bên liên quan cùng ký xác nhận số lượng thực nhận.</t>
  </si>
  <si>
    <t xml:space="preserve">NGƯỜI GIAO HÀNG</t>
  </si>
  <si>
    <t xml:space="preserve">NGƯỜI VẬN CHUYỂN</t>
  </si>
  <si>
    <t xml:space="preserve">THỦ KHO NHẬN HÀNG</t>
  </si>
  <si>
    <t xml:space="preserve">(Ký, ghi rõ họ tên)</t>
  </si>
  <si>
    <t xml:space="preserve">Ghi chú: Ô màu vàng là ô cần điền tay khi nhận hàng thực tế (Số lượng thực tế, Ghi chú tình trạng, và Hạn dùng nếu chưa có sẵn).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</si>
</sst>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b val="true"/>
      <sz val="16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name val="Arial"/>
      <family val="0"/>
      <charset val="1"/>
    </font>
    <font>
      <i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9E1F2"/>
        <bgColor rgb="FFD9D9D9"/>
      </patternFill>
    </fill>
    <fill>
      <patternFill patternType="solid">
        <fgColor rgb="FFD9D9D9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8" min="6" style="0" width="12"/>
    <col collapsed="false" customWidth="true" hidden="false" outlineLevel="0" max="10" min="9" style="0" width="11"/>
    <col collapsed="false" customWidth="true" hidden="false" outlineLevel="0" max="11" min="11" style="0" width="22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</row>
    <row r="4" customFormat="false" ht="19.7" hidden="false" customHeight="false" outlineLevel="0" collapsed="false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6" customFormat="false" ht="15" hidden="false" customHeight="false" outlineLevel="0" collapsed="false">
      <c r="A6" s="4" t="s">
        <v>3</v>
      </c>
      <c r="B6" s="4"/>
      <c r="C6" s="5" t="s">
        <v>4</v>
      </c>
      <c r="D6" s="5"/>
      <c r="E6" s="5"/>
      <c r="F6" s="5"/>
      <c r="G6" s="5"/>
      <c r="H6" s="5"/>
      <c r="I6" s="5"/>
      <c r="J6" s="5"/>
      <c r="K6" s="5"/>
    </row>
    <row r="7" customFormat="false" ht="15" hidden="false" customHeight="false" outlineLevel="0" collapsed="false">
      <c r="A7" s="4" t="s">
        <v>5</v>
      </c>
      <c r="B7" s="4"/>
      <c r="C7" s="5" t="s">
        <v>6</v>
      </c>
      <c r="D7" s="5"/>
      <c r="E7" s="5"/>
      <c r="F7" s="5"/>
      <c r="G7" s="5"/>
      <c r="H7" s="5"/>
      <c r="I7" s="5"/>
      <c r="J7" s="5"/>
      <c r="K7" s="5"/>
    </row>
    <row r="8" customFormat="false" ht="15" hidden="false" customHeight="false" outlineLevel="0" collapsed="false">
      <c r="A8" s="4" t="s">
        <v>7</v>
      </c>
      <c r="B8" s="4"/>
      <c r="C8" s="5" t="s">
        <v>8</v>
      </c>
      <c r="D8" s="5"/>
      <c r="E8" s="5"/>
      <c r="F8" s="5"/>
      <c r="G8" s="5"/>
      <c r="H8" s="5"/>
      <c r="I8" s="5"/>
      <c r="J8" s="5"/>
      <c r="K8" s="5"/>
    </row>
    <row r="9" customFormat="false" ht="15" hidden="false" customHeight="false" outlineLevel="0" collapsed="false">
      <c r="A9" s="4" t="s">
        <v>9</v>
      </c>
      <c r="B9" s="4"/>
      <c r="C9" s="5" t="s">
        <v>10</v>
      </c>
      <c r="D9" s="5"/>
      <c r="E9" s="5"/>
      <c r="F9" s="5"/>
      <c r="G9" s="5"/>
      <c r="H9" s="5"/>
      <c r="I9" s="5"/>
      <c r="J9" s="5"/>
      <c r="K9" s="5"/>
    </row>
    <row r="10" customFormat="false" ht="15" hidden="false" customHeight="false" outlineLevel="0" collapsed="false">
      <c r="A10" s="4" t="s">
        <v>11</v>
      </c>
      <c r="B10" s="4"/>
      <c r="C10" s="5"/>
      <c r="D10" s="5"/>
      <c r="E10" s="5"/>
      <c r="F10" s="5"/>
      <c r="G10" s="5"/>
      <c r="H10" s="5"/>
      <c r="I10" s="5"/>
      <c r="J10" s="5"/>
      <c r="K10" s="5"/>
    </row>
    <row r="12" customFormat="false" ht="30" hidden="false" customHeight="true" outlineLevel="0" collapsed="false">
      <c r="A12" s="6" t="s">
        <v>12</v>
      </c>
      <c r="B12" s="6" t="s">
        <v>13</v>
      </c>
      <c r="C12" s="6" t="s">
        <v>14</v>
      </c>
      <c r="D12" s="6" t="s">
        <v>15</v>
      </c>
      <c r="E12" s="6" t="s">
        <v>16</v>
      </c>
      <c r="F12" s="6" t="s">
        <v>17</v>
      </c>
      <c r="G12" s="6" t="s">
        <v>18</v>
      </c>
      <c r="H12" s="6" t="s">
        <v>19</v>
      </c>
      <c r="I12" s="6" t="s">
        <v>20</v>
      </c>
      <c r="J12" s="6" t="s">
        <v>21</v>
      </c>
      <c r="K12" s="6" t="s">
        <v>22</v>
      </c>
    </row>
    <row r="13" customFormat="false" ht="15" hidden="false" customHeight="false" outlineLevel="0" collapsed="false">
      <c r="A13" s="7" t="n">
        <v>1</v>
      </c>
      <c r="B13" s="7"/>
      <c r="C13" s="8" t="s">
        <v>23</v>
      </c>
      <c r="D13" s="7"/>
      <c r="E13" s="7"/>
      <c r="F13" s="9"/>
      <c r="G13" s="10" t="n">
        <v>0</v>
      </c>
      <c r="H13" s="11"/>
      <c r="I13" s="10" t="str">
        <f aca="false">IF(H13="","",IF(H13&gt;G13,H13-G13,0))</f>
        <v/>
      </c>
      <c r="J13" s="10" t="str">
        <f aca="false">IF(H13="","",IF(H13&lt;G13,G13-H13,0))</f>
        <v/>
      </c>
      <c r="K13" s="12"/>
    </row>
    <row r="14" customFormat="false" ht="26.85" hidden="false" customHeight="false" outlineLevel="0" collapsed="false">
      <c r="A14" s="7" t="n">
        <v>2</v>
      </c>
      <c r="B14" s="7" t="s">
        <v>24</v>
      </c>
      <c r="C14" s="8" t="s">
        <v>25</v>
      </c>
      <c r="D14" s="7" t="s">
        <v>26</v>
      </c>
      <c r="E14" s="7"/>
      <c r="F14" s="9"/>
      <c r="G14" s="10" t="n">
        <v>0</v>
      </c>
      <c r="H14" s="11"/>
      <c r="I14" s="10" t="str">
        <f aca="false">IF(H14="","",IF(H14&gt;G14,H14-G14,0))</f>
        <v/>
      </c>
      <c r="J14" s="10" t="str">
        <f aca="false">IF(H14="","",IF(H14&lt;G14,G14-H14,0))</f>
        <v/>
      </c>
      <c r="K14" s="12"/>
    </row>
    <row r="15" customFormat="false" ht="15" hidden="false" customHeight="false" outlineLevel="0" collapsed="false">
      <c r="A15" s="7" t="n">
        <v>3</v>
      </c>
      <c r="B15" s="7" t="s">
        <v>27</v>
      </c>
      <c r="C15" s="8" t="s">
        <v>28</v>
      </c>
      <c r="D15" s="7" t="s">
        <v>29</v>
      </c>
      <c r="E15" s="7" t="s">
        <v>30</v>
      </c>
      <c r="F15" s="9"/>
      <c r="G15" s="10" t="n">
        <v>26400</v>
      </c>
      <c r="H15" s="11"/>
      <c r="I15" s="10" t="str">
        <f aca="false">IF(H15="","",IF(H15&gt;G15,H15-G15,0))</f>
        <v/>
      </c>
      <c r="J15" s="10" t="str">
        <f aca="false">IF(H15="","",IF(H15&lt;G15,G15-H15,0))</f>
        <v/>
      </c>
      <c r="K15" s="12"/>
    </row>
    <row r="16" customFormat="false" ht="15" hidden="false" customHeight="false" outlineLevel="0" collapsed="false">
      <c r="A16" s="7" t="n">
        <v>4</v>
      </c>
      <c r="B16" s="7" t="s">
        <v>31</v>
      </c>
      <c r="C16" s="8" t="s">
        <v>32</v>
      </c>
      <c r="D16" s="7" t="s">
        <v>29</v>
      </c>
      <c r="E16" s="7" t="s">
        <v>33</v>
      </c>
      <c r="F16" s="9"/>
      <c r="G16" s="10" t="n">
        <v>7200</v>
      </c>
      <c r="H16" s="11"/>
      <c r="I16" s="10" t="str">
        <f aca="false">IF(H16="","",IF(H16&gt;G16,H16-G16,0))</f>
        <v/>
      </c>
      <c r="J16" s="10" t="str">
        <f aca="false">IF(H16="","",IF(H16&lt;G16,G16-H16,0))</f>
        <v/>
      </c>
      <c r="K16" s="12"/>
    </row>
    <row r="17" customFormat="false" ht="15" hidden="false" customHeight="false" outlineLevel="0" collapsed="false">
      <c r="A17" s="7" t="n">
        <v>5</v>
      </c>
      <c r="B17" s="7" t="s">
        <v>34</v>
      </c>
      <c r="C17" s="8" t="s">
        <v>35</v>
      </c>
      <c r="D17" s="7" t="s">
        <v>29</v>
      </c>
      <c r="E17" s="7" t="s">
        <v>36</v>
      </c>
      <c r="F17" s="9"/>
      <c r="G17" s="10" t="n">
        <v>3750</v>
      </c>
      <c r="H17" s="11"/>
      <c r="I17" s="10" t="str">
        <f aca="false">IF(H17="","",IF(H17&gt;G17,H17-G17,0))</f>
        <v/>
      </c>
      <c r="J17" s="10" t="str">
        <f aca="false">IF(H17="","",IF(H17&lt;G17,G17-H17,0))</f>
        <v/>
      </c>
      <c r="K17" s="12"/>
    </row>
    <row r="18" customFormat="false" ht="15" hidden="false" customHeight="false" outlineLevel="0" collapsed="false">
      <c r="A18" s="7" t="n">
        <v>6</v>
      </c>
      <c r="B18" s="7" t="s">
        <v>37</v>
      </c>
      <c r="C18" s="8" t="s">
        <v>38</v>
      </c>
      <c r="D18" s="7" t="s">
        <v>26</v>
      </c>
      <c r="E18" s="7" t="s">
        <v>39</v>
      </c>
      <c r="F18" s="9"/>
      <c r="G18" s="10" t="n">
        <v>20</v>
      </c>
      <c r="H18" s="11"/>
      <c r="I18" s="10" t="str">
        <f aca="false">IF(H18="","",IF(H18&gt;G18,H18-G18,0))</f>
        <v/>
      </c>
      <c r="J18" s="10" t="str">
        <f aca="false">IF(H18="","",IF(H18&lt;G18,G18-H18,0))</f>
        <v/>
      </c>
      <c r="K18" s="12"/>
    </row>
    <row r="19" customFormat="false" ht="15" hidden="false" customHeight="false" outlineLevel="0" collapsed="false">
      <c r="A19" s="7" t="n">
        <v>7</v>
      </c>
      <c r="B19" s="7" t="s">
        <v>40</v>
      </c>
      <c r="C19" s="8" t="s">
        <v>41</v>
      </c>
      <c r="D19" s="7" t="s">
        <v>42</v>
      </c>
      <c r="E19" s="7" t="s">
        <v>43</v>
      </c>
      <c r="F19" s="9"/>
      <c r="G19" s="10" t="n">
        <v>2880</v>
      </c>
      <c r="H19" s="11"/>
      <c r="I19" s="10" t="str">
        <f aca="false">IF(H19="","",IF(H19&gt;G19,H19-G19,0))</f>
        <v/>
      </c>
      <c r="J19" s="10" t="str">
        <f aca="false">IF(H19="","",IF(H19&lt;G19,G19-H19,0))</f>
        <v/>
      </c>
      <c r="K19" s="12"/>
    </row>
    <row r="20" customFormat="false" ht="15" hidden="false" customHeight="false" outlineLevel="0" collapsed="false">
      <c r="A20" s="7" t="n">
        <v>8</v>
      </c>
      <c r="B20" s="7" t="s">
        <v>44</v>
      </c>
      <c r="C20" s="8" t="s">
        <v>45</v>
      </c>
      <c r="D20" s="7" t="s">
        <v>46</v>
      </c>
      <c r="E20" s="7" t="s">
        <v>47</v>
      </c>
      <c r="F20" s="7" t="s">
        <v>48</v>
      </c>
      <c r="G20" s="10" t="n">
        <v>3260</v>
      </c>
      <c r="H20" s="11"/>
      <c r="I20" s="10" t="str">
        <f aca="false">IF(H20="","",IF(H20&gt;G20,H20-G20,0))</f>
        <v/>
      </c>
      <c r="J20" s="10" t="str">
        <f aca="false">IF(H20="","",IF(H20&lt;G20,G20-H20,0))</f>
        <v/>
      </c>
      <c r="K20" s="12"/>
    </row>
    <row r="21" customFormat="false" ht="15" hidden="false" customHeight="false" outlineLevel="0" collapsed="false">
      <c r="A21" s="7" t="n">
        <v>9</v>
      </c>
      <c r="B21" s="7" t="s">
        <v>44</v>
      </c>
      <c r="C21" s="8" t="s">
        <v>45</v>
      </c>
      <c r="D21" s="7" t="s">
        <v>46</v>
      </c>
      <c r="E21" s="7" t="s">
        <v>49</v>
      </c>
      <c r="F21" s="9"/>
      <c r="G21" s="10" t="n">
        <v>1920</v>
      </c>
      <c r="H21" s="11"/>
      <c r="I21" s="10" t="str">
        <f aca="false">IF(H21="","",IF(H21&gt;G21,H21-G21,0))</f>
        <v/>
      </c>
      <c r="J21" s="10" t="str">
        <f aca="false">IF(H21="","",IF(H21&lt;G21,G21-H21,0))</f>
        <v/>
      </c>
      <c r="K21" s="12"/>
    </row>
    <row r="22" customFormat="false" ht="15" hidden="false" customHeight="false" outlineLevel="0" collapsed="false">
      <c r="A22" s="7" t="n">
        <v>10</v>
      </c>
      <c r="B22" s="7" t="s">
        <v>50</v>
      </c>
      <c r="C22" s="8" t="s">
        <v>51</v>
      </c>
      <c r="D22" s="7" t="s">
        <v>42</v>
      </c>
      <c r="E22" s="7" t="s">
        <v>52</v>
      </c>
      <c r="F22" s="9"/>
      <c r="G22" s="10" t="n">
        <v>300</v>
      </c>
      <c r="H22" s="11"/>
      <c r="I22" s="10" t="str">
        <f aca="false">IF(H22="","",IF(H22&gt;G22,H22-G22,0))</f>
        <v/>
      </c>
      <c r="J22" s="10" t="str">
        <f aca="false">IF(H22="","",IF(H22&lt;G22,G22-H22,0))</f>
        <v/>
      </c>
      <c r="K22" s="12"/>
    </row>
    <row r="23" customFormat="false" ht="15" hidden="false" customHeight="false" outlineLevel="0" collapsed="false">
      <c r="A23" s="7" t="n">
        <v>11</v>
      </c>
      <c r="B23" s="7" t="s">
        <v>53</v>
      </c>
      <c r="C23" s="8" t="s">
        <v>54</v>
      </c>
      <c r="D23" s="7" t="s">
        <v>46</v>
      </c>
      <c r="E23" s="7" t="s">
        <v>55</v>
      </c>
      <c r="F23" s="9"/>
      <c r="G23" s="10" t="n">
        <v>1800</v>
      </c>
      <c r="H23" s="11"/>
      <c r="I23" s="10" t="str">
        <f aca="false">IF(H23="","",IF(H23&gt;G23,H23-G23,0))</f>
        <v/>
      </c>
      <c r="J23" s="10" t="str">
        <f aca="false">IF(H23="","",IF(H23&lt;G23,G23-H23,0))</f>
        <v/>
      </c>
      <c r="K23" s="12"/>
    </row>
    <row r="24" customFormat="false" ht="15" hidden="false" customHeight="false" outlineLevel="0" collapsed="false">
      <c r="A24" s="7" t="n">
        <v>12</v>
      </c>
      <c r="B24" s="7" t="s">
        <v>56</v>
      </c>
      <c r="C24" s="8" t="s">
        <v>57</v>
      </c>
      <c r="D24" s="7" t="s">
        <v>29</v>
      </c>
      <c r="E24" s="7" t="s">
        <v>58</v>
      </c>
      <c r="F24" s="9"/>
      <c r="G24" s="10" t="n">
        <v>24</v>
      </c>
      <c r="H24" s="11"/>
      <c r="I24" s="10" t="str">
        <f aca="false">IF(H24="","",IF(H24&gt;G24,H24-G24,0))</f>
        <v/>
      </c>
      <c r="J24" s="10" t="str">
        <f aca="false">IF(H24="","",IF(H24&lt;G24,G24-H24,0))</f>
        <v/>
      </c>
      <c r="K24" s="12"/>
    </row>
    <row r="25" customFormat="false" ht="15" hidden="false" customHeight="false" outlineLevel="0" collapsed="false">
      <c r="A25" s="7" t="n">
        <v>13</v>
      </c>
      <c r="B25" s="7" t="s">
        <v>59</v>
      </c>
      <c r="C25" s="8" t="s">
        <v>60</v>
      </c>
      <c r="D25" s="7" t="s">
        <v>29</v>
      </c>
      <c r="E25" s="7" t="s">
        <v>61</v>
      </c>
      <c r="F25" s="9"/>
      <c r="G25" s="10" t="n">
        <v>1500</v>
      </c>
      <c r="H25" s="11"/>
      <c r="I25" s="10" t="str">
        <f aca="false">IF(H25="","",IF(H25&gt;G25,H25-G25,0))</f>
        <v/>
      </c>
      <c r="J25" s="10" t="str">
        <f aca="false">IF(H25="","",IF(H25&lt;G25,G25-H25,0))</f>
        <v/>
      </c>
      <c r="K25" s="12"/>
    </row>
    <row r="26" customFormat="false" ht="15" hidden="false" customHeight="false" outlineLevel="0" collapsed="false">
      <c r="A26" s="7" t="n">
        <v>14</v>
      </c>
      <c r="B26" s="7" t="s">
        <v>62</v>
      </c>
      <c r="C26" s="8" t="s">
        <v>63</v>
      </c>
      <c r="D26" s="7" t="s">
        <v>42</v>
      </c>
      <c r="E26" s="7" t="s">
        <v>30</v>
      </c>
      <c r="F26" s="9"/>
      <c r="G26" s="10" t="n">
        <v>140</v>
      </c>
      <c r="H26" s="11"/>
      <c r="I26" s="10" t="str">
        <f aca="false">IF(H26="","",IF(H26&gt;G26,H26-G26,0))</f>
        <v/>
      </c>
      <c r="J26" s="10" t="str">
        <f aca="false">IF(H26="","",IF(H26&lt;G26,G26-H26,0))</f>
        <v/>
      </c>
      <c r="K26" s="12"/>
    </row>
    <row r="27" customFormat="false" ht="15" hidden="false" customHeight="false" outlineLevel="0" collapsed="false">
      <c r="A27" s="7" t="n">
        <v>15</v>
      </c>
      <c r="B27" s="7" t="s">
        <v>64</v>
      </c>
      <c r="C27" s="8" t="s">
        <v>65</v>
      </c>
      <c r="D27" s="7" t="s">
        <v>66</v>
      </c>
      <c r="E27" s="7" t="s">
        <v>67</v>
      </c>
      <c r="F27" s="9"/>
      <c r="G27" s="10" t="n">
        <v>1500</v>
      </c>
      <c r="H27" s="11"/>
      <c r="I27" s="10" t="str">
        <f aca="false">IF(H27="","",IF(H27&gt;G27,H27-G27,0))</f>
        <v/>
      </c>
      <c r="J27" s="10" t="str">
        <f aca="false">IF(H27="","",IF(H27&lt;G27,G27-H27,0))</f>
        <v/>
      </c>
      <c r="K27" s="12"/>
    </row>
    <row r="28" customFormat="false" ht="15" hidden="false" customHeight="false" outlineLevel="0" collapsed="false">
      <c r="A28" s="7" t="n">
        <v>16</v>
      </c>
      <c r="B28" s="7" t="s">
        <v>68</v>
      </c>
      <c r="C28" s="8" t="s">
        <v>69</v>
      </c>
      <c r="D28" s="7" t="s">
        <v>42</v>
      </c>
      <c r="E28" s="7" t="s">
        <v>67</v>
      </c>
      <c r="F28" s="7" t="s">
        <v>70</v>
      </c>
      <c r="G28" s="10" t="n">
        <v>3000</v>
      </c>
      <c r="H28" s="11"/>
      <c r="I28" s="10" t="str">
        <f aca="false">IF(H28="","",IF(H28&gt;G28,H28-G28,0))</f>
        <v/>
      </c>
      <c r="J28" s="10" t="str">
        <f aca="false">IF(H28="","",IF(H28&lt;G28,G28-H28,0))</f>
        <v/>
      </c>
      <c r="K28" s="12"/>
    </row>
    <row r="29" customFormat="false" ht="15" hidden="false" customHeight="false" outlineLevel="0" collapsed="false">
      <c r="A29" s="7" t="n">
        <v>17</v>
      </c>
      <c r="B29" s="7" t="s">
        <v>71</v>
      </c>
      <c r="C29" s="8" t="s">
        <v>72</v>
      </c>
      <c r="D29" s="7" t="s">
        <v>73</v>
      </c>
      <c r="E29" s="7" t="s">
        <v>36</v>
      </c>
      <c r="F29" s="9"/>
      <c r="G29" s="10" t="n">
        <v>390</v>
      </c>
      <c r="H29" s="11"/>
      <c r="I29" s="10" t="str">
        <f aca="false">IF(H29="","",IF(H29&gt;G29,H29-G29,0))</f>
        <v/>
      </c>
      <c r="J29" s="10" t="str">
        <f aca="false">IF(H29="","",IF(H29&lt;G29,G29-H29,0))</f>
        <v/>
      </c>
      <c r="K29" s="12"/>
    </row>
    <row r="30" customFormat="false" ht="15" hidden="false" customHeight="false" outlineLevel="0" collapsed="false">
      <c r="A30" s="7" t="n">
        <v>18</v>
      </c>
      <c r="B30" s="7" t="s">
        <v>74</v>
      </c>
      <c r="C30" s="8" t="s">
        <v>75</v>
      </c>
      <c r="D30" s="7" t="s">
        <v>29</v>
      </c>
      <c r="E30" s="7" t="s">
        <v>76</v>
      </c>
      <c r="F30" s="9"/>
      <c r="G30" s="10" t="n">
        <v>4800</v>
      </c>
      <c r="H30" s="11"/>
      <c r="I30" s="10" t="str">
        <f aca="false">IF(H30="","",IF(H30&gt;G30,H30-G30,0))</f>
        <v/>
      </c>
      <c r="J30" s="10" t="str">
        <f aca="false">IF(H30="","",IF(H30&lt;G30,G30-H30,0))</f>
        <v/>
      </c>
      <c r="K30" s="12"/>
    </row>
    <row r="31" customFormat="false" ht="26.85" hidden="false" customHeight="false" outlineLevel="0" collapsed="false">
      <c r="A31" s="7" t="n">
        <v>19</v>
      </c>
      <c r="B31" s="7" t="s">
        <v>77</v>
      </c>
      <c r="C31" s="8" t="s">
        <v>78</v>
      </c>
      <c r="D31" s="7" t="s">
        <v>29</v>
      </c>
      <c r="E31" s="7" t="s">
        <v>30</v>
      </c>
      <c r="F31" s="9"/>
      <c r="G31" s="10" t="n">
        <v>2520</v>
      </c>
      <c r="H31" s="11"/>
      <c r="I31" s="10" t="str">
        <f aca="false">IF(H31="","",IF(H31&gt;G31,H31-G31,0))</f>
        <v/>
      </c>
      <c r="J31" s="10" t="str">
        <f aca="false">IF(H31="","",IF(H31&lt;G31,G31-H31,0))</f>
        <v/>
      </c>
      <c r="K31" s="12"/>
    </row>
    <row r="32" customFormat="false" ht="26.85" hidden="false" customHeight="false" outlineLevel="0" collapsed="false">
      <c r="A32" s="7" t="n">
        <v>20</v>
      </c>
      <c r="B32" s="7" t="s">
        <v>79</v>
      </c>
      <c r="C32" s="8" t="s">
        <v>80</v>
      </c>
      <c r="D32" s="7" t="s">
        <v>81</v>
      </c>
      <c r="E32" s="7" t="s">
        <v>82</v>
      </c>
      <c r="F32" s="9"/>
      <c r="G32" s="10" t="n">
        <v>50</v>
      </c>
      <c r="H32" s="11"/>
      <c r="I32" s="10" t="str">
        <f aca="false">IF(H32="","",IF(H32&gt;G32,H32-G32,0))</f>
        <v/>
      </c>
      <c r="J32" s="10" t="str">
        <f aca="false">IF(H32="","",IF(H32&lt;G32,G32-H32,0))</f>
        <v/>
      </c>
      <c r="K32" s="12"/>
    </row>
    <row r="33" customFormat="false" ht="15" hidden="false" customHeight="false" outlineLevel="0" collapsed="false">
      <c r="A33" s="7" t="n">
        <v>21</v>
      </c>
      <c r="B33" s="7" t="s">
        <v>83</v>
      </c>
      <c r="C33" s="8" t="s">
        <v>84</v>
      </c>
      <c r="D33" s="7" t="s">
        <v>42</v>
      </c>
      <c r="E33" s="7" t="s">
        <v>85</v>
      </c>
      <c r="F33" s="9"/>
      <c r="G33" s="10" t="n">
        <v>750</v>
      </c>
      <c r="H33" s="11"/>
      <c r="I33" s="10" t="str">
        <f aca="false">IF(H33="","",IF(H33&gt;G33,H33-G33,0))</f>
        <v/>
      </c>
      <c r="J33" s="10" t="str">
        <f aca="false">IF(H33="","",IF(H33&lt;G33,G33-H33,0))</f>
        <v/>
      </c>
      <c r="K33" s="12"/>
    </row>
    <row r="34" customFormat="false" ht="15" hidden="false" customHeight="false" outlineLevel="0" collapsed="false">
      <c r="A34" s="7" t="n">
        <v>22</v>
      </c>
      <c r="B34" s="7" t="s">
        <v>86</v>
      </c>
      <c r="C34" s="8" t="s">
        <v>87</v>
      </c>
      <c r="D34" s="7" t="s">
        <v>29</v>
      </c>
      <c r="E34" s="7" t="s">
        <v>88</v>
      </c>
      <c r="F34" s="9"/>
      <c r="G34" s="10" t="n">
        <v>100</v>
      </c>
      <c r="H34" s="11"/>
      <c r="I34" s="10" t="str">
        <f aca="false">IF(H34="","",IF(H34&gt;G34,H34-G34,0))</f>
        <v/>
      </c>
      <c r="J34" s="10" t="str">
        <f aca="false">IF(H34="","",IF(H34&lt;G34,G34-H34,0))</f>
        <v/>
      </c>
      <c r="K34" s="12"/>
    </row>
    <row r="35" customFormat="false" ht="15" hidden="false" customHeight="false" outlineLevel="0" collapsed="false">
      <c r="A35" s="7" t="n">
        <v>23</v>
      </c>
      <c r="B35" s="7" t="s">
        <v>89</v>
      </c>
      <c r="C35" s="8" t="s">
        <v>90</v>
      </c>
      <c r="D35" s="7" t="s">
        <v>42</v>
      </c>
      <c r="E35" s="7" t="s">
        <v>30</v>
      </c>
      <c r="F35" s="9"/>
      <c r="G35" s="10" t="n">
        <v>864</v>
      </c>
      <c r="H35" s="11"/>
      <c r="I35" s="10" t="str">
        <f aca="false">IF(H35="","",IF(H35&gt;G35,H35-G35,0))</f>
        <v/>
      </c>
      <c r="J35" s="10" t="str">
        <f aca="false">IF(H35="","",IF(H35&lt;G35,G35-H35,0))</f>
        <v/>
      </c>
      <c r="K35" s="12"/>
    </row>
    <row r="36" customFormat="false" ht="15" hidden="false" customHeight="false" outlineLevel="0" collapsed="false">
      <c r="A36" s="7" t="n">
        <v>24</v>
      </c>
      <c r="B36" s="7" t="s">
        <v>91</v>
      </c>
      <c r="C36" s="8" t="s">
        <v>92</v>
      </c>
      <c r="D36" s="7" t="s">
        <v>42</v>
      </c>
      <c r="E36" s="7" t="s">
        <v>93</v>
      </c>
      <c r="F36" s="9"/>
      <c r="G36" s="10" t="n">
        <v>2880</v>
      </c>
      <c r="H36" s="11"/>
      <c r="I36" s="10" t="str">
        <f aca="false">IF(H36="","",IF(H36&gt;G36,H36-G36,0))</f>
        <v/>
      </c>
      <c r="J36" s="10" t="str">
        <f aca="false">IF(H36="","",IF(H36&lt;G36,G36-H36,0))</f>
        <v/>
      </c>
      <c r="K36" s="12"/>
    </row>
    <row r="37" customFormat="false" ht="26.85" hidden="false" customHeight="false" outlineLevel="0" collapsed="false">
      <c r="A37" s="7" t="n">
        <v>25</v>
      </c>
      <c r="B37" s="7" t="s">
        <v>94</v>
      </c>
      <c r="C37" s="8" t="s">
        <v>95</v>
      </c>
      <c r="D37" s="7" t="s">
        <v>42</v>
      </c>
      <c r="E37" s="7" t="s">
        <v>67</v>
      </c>
      <c r="F37" s="9"/>
      <c r="G37" s="10" t="n">
        <v>600</v>
      </c>
      <c r="H37" s="11"/>
      <c r="I37" s="10" t="str">
        <f aca="false">IF(H37="","",IF(H37&gt;G37,H37-G37,0))</f>
        <v/>
      </c>
      <c r="J37" s="10" t="str">
        <f aca="false">IF(H37="","",IF(H37&lt;G37,G37-H37,0))</f>
        <v/>
      </c>
      <c r="K37" s="12"/>
    </row>
    <row r="38" customFormat="false" ht="15" hidden="false" customHeight="false" outlineLevel="0" collapsed="false">
      <c r="A38" s="7" t="n">
        <v>26</v>
      </c>
      <c r="B38" s="7" t="s">
        <v>96</v>
      </c>
      <c r="C38" s="8" t="s">
        <v>97</v>
      </c>
      <c r="D38" s="7" t="s">
        <v>29</v>
      </c>
      <c r="E38" s="7" t="s">
        <v>67</v>
      </c>
      <c r="F38" s="9"/>
      <c r="G38" s="10" t="n">
        <v>1600</v>
      </c>
      <c r="H38" s="11"/>
      <c r="I38" s="10" t="str">
        <f aca="false">IF(H38="","",IF(H38&gt;G38,H38-G38,0))</f>
        <v/>
      </c>
      <c r="J38" s="10" t="str">
        <f aca="false">IF(H38="","",IF(H38&lt;G38,G38-H38,0))</f>
        <v/>
      </c>
      <c r="K38" s="12"/>
    </row>
    <row r="39" customFormat="false" ht="15" hidden="false" customHeight="false" outlineLevel="0" collapsed="false">
      <c r="A39" s="7" t="n">
        <v>27</v>
      </c>
      <c r="B39" s="7" t="s">
        <v>98</v>
      </c>
      <c r="C39" s="8" t="s">
        <v>99</v>
      </c>
      <c r="D39" s="7" t="s">
        <v>29</v>
      </c>
      <c r="E39" s="7" t="s">
        <v>100</v>
      </c>
      <c r="F39" s="9"/>
      <c r="G39" s="10" t="n">
        <v>4800</v>
      </c>
      <c r="H39" s="11"/>
      <c r="I39" s="10" t="str">
        <f aca="false">IF(H39="","",IF(H39&gt;G39,H39-G39,0))</f>
        <v/>
      </c>
      <c r="J39" s="10" t="str">
        <f aca="false">IF(H39="","",IF(H39&lt;G39,G39-H39,0))</f>
        <v/>
      </c>
      <c r="K39" s="12"/>
    </row>
    <row r="40" customFormat="false" ht="15" hidden="false" customHeight="false" outlineLevel="0" collapsed="false">
      <c r="A40" s="7" t="n">
        <v>28</v>
      </c>
      <c r="B40" s="7" t="s">
        <v>101</v>
      </c>
      <c r="C40" s="8" t="s">
        <v>102</v>
      </c>
      <c r="D40" s="7" t="s">
        <v>66</v>
      </c>
      <c r="E40" s="7" t="s">
        <v>103</v>
      </c>
      <c r="F40" s="9"/>
      <c r="G40" s="10" t="n">
        <v>675</v>
      </c>
      <c r="H40" s="11"/>
      <c r="I40" s="10" t="str">
        <f aca="false">IF(H40="","",IF(H40&gt;G40,H40-G40,0))</f>
        <v/>
      </c>
      <c r="J40" s="10" t="str">
        <f aca="false">IF(H40="","",IF(H40&lt;G40,G40-H40,0))</f>
        <v/>
      </c>
      <c r="K40" s="12"/>
    </row>
    <row r="41" customFormat="false" ht="15" hidden="false" customHeight="false" outlineLevel="0" collapsed="false">
      <c r="A41" s="7" t="n">
        <v>29</v>
      </c>
      <c r="B41" s="7" t="s">
        <v>101</v>
      </c>
      <c r="C41" s="8" t="s">
        <v>102</v>
      </c>
      <c r="D41" s="7" t="s">
        <v>66</v>
      </c>
      <c r="E41" s="7" t="s">
        <v>104</v>
      </c>
      <c r="F41" s="9"/>
      <c r="G41" s="10" t="n">
        <v>3150</v>
      </c>
      <c r="H41" s="11"/>
      <c r="I41" s="10" t="str">
        <f aca="false">IF(H41="","",IF(H41&gt;G41,H41-G41,0))</f>
        <v/>
      </c>
      <c r="J41" s="10" t="str">
        <f aca="false">IF(H41="","",IF(H41&lt;G41,G41-H41,0))</f>
        <v/>
      </c>
      <c r="K41" s="12"/>
    </row>
    <row r="42" customFormat="false" ht="15" hidden="false" customHeight="false" outlineLevel="0" collapsed="false">
      <c r="A42" s="7" t="n">
        <v>30</v>
      </c>
      <c r="B42" s="7" t="s">
        <v>105</v>
      </c>
      <c r="C42" s="8" t="s">
        <v>106</v>
      </c>
      <c r="D42" s="7" t="s">
        <v>29</v>
      </c>
      <c r="E42" s="7" t="s">
        <v>107</v>
      </c>
      <c r="F42" s="9"/>
      <c r="G42" s="10" t="n">
        <v>750</v>
      </c>
      <c r="H42" s="11"/>
      <c r="I42" s="10" t="str">
        <f aca="false">IF(H42="","",IF(H42&gt;G42,H42-G42,0))</f>
        <v/>
      </c>
      <c r="J42" s="10" t="str">
        <f aca="false">IF(H42="","",IF(H42&lt;G42,G42-H42,0))</f>
        <v/>
      </c>
      <c r="K42" s="12"/>
    </row>
    <row r="43" customFormat="false" ht="15" hidden="false" customHeight="false" outlineLevel="0" collapsed="false">
      <c r="A43" s="7" t="n">
        <v>31</v>
      </c>
      <c r="B43" s="7" t="s">
        <v>108</v>
      </c>
      <c r="C43" s="8" t="s">
        <v>109</v>
      </c>
      <c r="D43" s="7" t="s">
        <v>29</v>
      </c>
      <c r="E43" s="7" t="s">
        <v>110</v>
      </c>
      <c r="F43" s="9"/>
      <c r="G43" s="10" t="n">
        <v>4800</v>
      </c>
      <c r="H43" s="11"/>
      <c r="I43" s="10" t="str">
        <f aca="false">IF(H43="","",IF(H43&gt;G43,H43-G43,0))</f>
        <v/>
      </c>
      <c r="J43" s="10" t="str">
        <f aca="false">IF(H43="","",IF(H43&lt;G43,G43-H43,0))</f>
        <v/>
      </c>
      <c r="K43" s="12"/>
    </row>
    <row r="44" customFormat="false" ht="15" hidden="false" customHeight="false" outlineLevel="0" collapsed="false">
      <c r="A44" s="7" t="n">
        <v>32</v>
      </c>
      <c r="B44" s="7" t="s">
        <v>111</v>
      </c>
      <c r="C44" s="8" t="s">
        <v>112</v>
      </c>
      <c r="D44" s="7" t="s">
        <v>29</v>
      </c>
      <c r="E44" s="7" t="s">
        <v>113</v>
      </c>
      <c r="F44" s="9"/>
      <c r="G44" s="10" t="n">
        <v>750</v>
      </c>
      <c r="H44" s="11"/>
      <c r="I44" s="10" t="str">
        <f aca="false">IF(H44="","",IF(H44&gt;G44,H44-G44,0))</f>
        <v/>
      </c>
      <c r="J44" s="10" t="str">
        <f aca="false">IF(H44="","",IF(H44&lt;G44,G44-H44,0))</f>
        <v/>
      </c>
      <c r="K44" s="12"/>
    </row>
    <row r="45" customFormat="false" ht="26.85" hidden="false" customHeight="false" outlineLevel="0" collapsed="false">
      <c r="A45" s="7" t="n">
        <v>33</v>
      </c>
      <c r="B45" s="7" t="s">
        <v>114</v>
      </c>
      <c r="C45" s="8" t="s">
        <v>115</v>
      </c>
      <c r="D45" s="7" t="s">
        <v>66</v>
      </c>
      <c r="E45" s="7" t="s">
        <v>116</v>
      </c>
      <c r="F45" s="9"/>
      <c r="G45" s="10" t="n">
        <v>1890</v>
      </c>
      <c r="H45" s="11"/>
      <c r="I45" s="10" t="str">
        <f aca="false">IF(H45="","",IF(H45&gt;G45,H45-G45,0))</f>
        <v/>
      </c>
      <c r="J45" s="10" t="str">
        <f aca="false">IF(H45="","",IF(H45&lt;G45,G45-H45,0))</f>
        <v/>
      </c>
      <c r="K45" s="12"/>
    </row>
    <row r="46" customFormat="false" ht="15" hidden="false" customHeight="false" outlineLevel="0" collapsed="false">
      <c r="A46" s="7" t="n">
        <v>34</v>
      </c>
      <c r="B46" s="7" t="s">
        <v>117</v>
      </c>
      <c r="C46" s="8" t="s">
        <v>118</v>
      </c>
      <c r="D46" s="7" t="s">
        <v>29</v>
      </c>
      <c r="E46" s="7" t="s">
        <v>30</v>
      </c>
      <c r="F46" s="9"/>
      <c r="G46" s="10" t="n">
        <v>1000</v>
      </c>
      <c r="H46" s="11"/>
      <c r="I46" s="10" t="str">
        <f aca="false">IF(H46="","",IF(H46&gt;G46,H46-G46,0))</f>
        <v/>
      </c>
      <c r="J46" s="10" t="str">
        <f aca="false">IF(H46="","",IF(H46&lt;G46,G46-H46,0))</f>
        <v/>
      </c>
      <c r="K46" s="12"/>
    </row>
    <row r="47" customFormat="false" ht="26.85" hidden="false" customHeight="false" outlineLevel="0" collapsed="false">
      <c r="A47" s="7" t="n">
        <v>35</v>
      </c>
      <c r="B47" s="7" t="s">
        <v>119</v>
      </c>
      <c r="C47" s="8" t="s">
        <v>120</v>
      </c>
      <c r="D47" s="7" t="s">
        <v>29</v>
      </c>
      <c r="E47" s="7" t="s">
        <v>121</v>
      </c>
      <c r="F47" s="7" t="s">
        <v>122</v>
      </c>
      <c r="G47" s="10" t="n">
        <v>63000</v>
      </c>
      <c r="H47" s="11"/>
      <c r="I47" s="10" t="str">
        <f aca="false">IF(H47="","",IF(H47&gt;G47,H47-G47,0))</f>
        <v/>
      </c>
      <c r="J47" s="10" t="str">
        <f aca="false">IF(H47="","",IF(H47&lt;G47,G47-H47,0))</f>
        <v/>
      </c>
      <c r="K47" s="12"/>
    </row>
    <row r="48" customFormat="false" ht="26.85" hidden="false" customHeight="false" outlineLevel="0" collapsed="false">
      <c r="A48" s="7" t="n">
        <v>36</v>
      </c>
      <c r="B48" s="7" t="s">
        <v>123</v>
      </c>
      <c r="C48" s="8" t="s">
        <v>124</v>
      </c>
      <c r="D48" s="7" t="s">
        <v>29</v>
      </c>
      <c r="E48" s="7" t="s">
        <v>125</v>
      </c>
      <c r="F48" s="9"/>
      <c r="G48" s="10" t="n">
        <v>21000</v>
      </c>
      <c r="H48" s="11"/>
      <c r="I48" s="10" t="str">
        <f aca="false">IF(H48="","",IF(H48&gt;G48,H48-G48,0))</f>
        <v/>
      </c>
      <c r="J48" s="10" t="str">
        <f aca="false">IF(H48="","",IF(H48&lt;G48,G48-H48,0))</f>
        <v/>
      </c>
      <c r="K48" s="12"/>
    </row>
    <row r="49" customFormat="false" ht="15" hidden="false" customHeight="false" outlineLevel="0" collapsed="false">
      <c r="A49" s="7" t="n">
        <v>37</v>
      </c>
      <c r="B49" s="7" t="s">
        <v>126</v>
      </c>
      <c r="C49" s="8" t="s">
        <v>127</v>
      </c>
      <c r="D49" s="7" t="s">
        <v>42</v>
      </c>
      <c r="E49" s="7" t="s">
        <v>30</v>
      </c>
      <c r="F49" s="7" t="s">
        <v>128</v>
      </c>
      <c r="G49" s="10" t="n">
        <v>15750</v>
      </c>
      <c r="H49" s="11"/>
      <c r="I49" s="10" t="str">
        <f aca="false">IF(H49="","",IF(H49&gt;G49,H49-G49,0))</f>
        <v/>
      </c>
      <c r="J49" s="10" t="str">
        <f aca="false">IF(H49="","",IF(H49&lt;G49,G49-H49,0))</f>
        <v/>
      </c>
      <c r="K49" s="12"/>
    </row>
    <row r="50" customFormat="false" ht="15" hidden="false" customHeight="false" outlineLevel="0" collapsed="false">
      <c r="A50" s="7" t="n">
        <v>38</v>
      </c>
      <c r="B50" s="7" t="s">
        <v>129</v>
      </c>
      <c r="C50" s="8" t="s">
        <v>130</v>
      </c>
      <c r="D50" s="7" t="s">
        <v>29</v>
      </c>
      <c r="E50" s="7" t="s">
        <v>131</v>
      </c>
      <c r="F50" s="9"/>
      <c r="G50" s="10" t="n">
        <v>2640</v>
      </c>
      <c r="H50" s="11"/>
      <c r="I50" s="10" t="str">
        <f aca="false">IF(H50="","",IF(H50&gt;G50,H50-G50,0))</f>
        <v/>
      </c>
      <c r="J50" s="10" t="str">
        <f aca="false">IF(H50="","",IF(H50&lt;G50,G50-H50,0))</f>
        <v/>
      </c>
      <c r="K50" s="12"/>
    </row>
    <row r="51" customFormat="false" ht="26.85" hidden="false" customHeight="false" outlineLevel="0" collapsed="false">
      <c r="A51" s="7" t="n">
        <v>39</v>
      </c>
      <c r="B51" s="7" t="s">
        <v>132</v>
      </c>
      <c r="C51" s="8" t="s">
        <v>133</v>
      </c>
      <c r="D51" s="7" t="s">
        <v>29</v>
      </c>
      <c r="E51" s="7" t="s">
        <v>134</v>
      </c>
      <c r="F51" s="9"/>
      <c r="G51" s="10" t="n">
        <v>1920</v>
      </c>
      <c r="H51" s="11"/>
      <c r="I51" s="10" t="str">
        <f aca="false">IF(H51="","",IF(H51&gt;G51,H51-G51,0))</f>
        <v/>
      </c>
      <c r="J51" s="10" t="str">
        <f aca="false">IF(H51="","",IF(H51&lt;G51,G51-H51,0))</f>
        <v/>
      </c>
      <c r="K51" s="12"/>
    </row>
    <row r="52" customFormat="false" ht="26.85" hidden="false" customHeight="false" outlineLevel="0" collapsed="false">
      <c r="A52" s="7" t="n">
        <v>40</v>
      </c>
      <c r="B52" s="7" t="s">
        <v>135</v>
      </c>
      <c r="C52" s="8" t="s">
        <v>136</v>
      </c>
      <c r="D52" s="7" t="s">
        <v>29</v>
      </c>
      <c r="E52" s="7" t="s">
        <v>137</v>
      </c>
      <c r="F52" s="9"/>
      <c r="G52" s="10" t="n">
        <v>500</v>
      </c>
      <c r="H52" s="11"/>
      <c r="I52" s="10" t="str">
        <f aca="false">IF(H52="","",IF(H52&gt;G52,H52-G52,0))</f>
        <v/>
      </c>
      <c r="J52" s="10" t="str">
        <f aca="false">IF(H52="","",IF(H52&lt;G52,G52-H52,0))</f>
        <v/>
      </c>
      <c r="K52" s="12"/>
    </row>
    <row r="53" customFormat="false" ht="15" hidden="false" customHeight="false" outlineLevel="0" collapsed="false">
      <c r="A53" s="7" t="n">
        <v>41</v>
      </c>
      <c r="B53" s="7" t="s">
        <v>138</v>
      </c>
      <c r="C53" s="8" t="s">
        <v>139</v>
      </c>
      <c r="D53" s="7" t="s">
        <v>29</v>
      </c>
      <c r="E53" s="7" t="s">
        <v>30</v>
      </c>
      <c r="F53" s="9"/>
      <c r="G53" s="10" t="n">
        <v>19200</v>
      </c>
      <c r="H53" s="11"/>
      <c r="I53" s="10" t="str">
        <f aca="false">IF(H53="","",IF(H53&gt;G53,H53-G53,0))</f>
        <v/>
      </c>
      <c r="J53" s="10" t="str">
        <f aca="false">IF(H53="","",IF(H53&lt;G53,G53-H53,0))</f>
        <v/>
      </c>
      <c r="K53" s="12"/>
    </row>
    <row r="54" customFormat="false" ht="15" hidden="false" customHeight="false" outlineLevel="0" collapsed="false">
      <c r="A54" s="7" t="n">
        <v>42</v>
      </c>
      <c r="B54" s="7" t="s">
        <v>140</v>
      </c>
      <c r="C54" s="8" t="s">
        <v>141</v>
      </c>
      <c r="D54" s="7" t="s">
        <v>46</v>
      </c>
      <c r="E54" s="7" t="s">
        <v>142</v>
      </c>
      <c r="F54" s="9"/>
      <c r="G54" s="10" t="n">
        <v>5760</v>
      </c>
      <c r="H54" s="11"/>
      <c r="I54" s="10" t="str">
        <f aca="false">IF(H54="","",IF(H54&gt;G54,H54-G54,0))</f>
        <v/>
      </c>
      <c r="J54" s="10" t="str">
        <f aca="false">IF(H54="","",IF(H54&lt;G54,G54-H54,0))</f>
        <v/>
      </c>
      <c r="K54" s="12"/>
    </row>
    <row r="55" customFormat="false" ht="15" hidden="false" customHeight="false" outlineLevel="0" collapsed="false">
      <c r="A55" s="7" t="n">
        <v>43</v>
      </c>
      <c r="B55" s="7" t="s">
        <v>140</v>
      </c>
      <c r="C55" s="8" t="s">
        <v>141</v>
      </c>
      <c r="D55" s="7" t="s">
        <v>46</v>
      </c>
      <c r="E55" s="7" t="s">
        <v>143</v>
      </c>
      <c r="F55" s="9"/>
      <c r="G55" s="10" t="n">
        <v>30240</v>
      </c>
      <c r="H55" s="11"/>
      <c r="I55" s="10" t="str">
        <f aca="false">IF(H55="","",IF(H55&gt;G55,H55-G55,0))</f>
        <v/>
      </c>
      <c r="J55" s="10" t="str">
        <f aca="false">IF(H55="","",IF(H55&lt;G55,G55-H55,0))</f>
        <v/>
      </c>
      <c r="K55" s="12"/>
    </row>
    <row r="56" customFormat="false" ht="15" hidden="false" customHeight="false" outlineLevel="0" collapsed="false">
      <c r="A56" s="7" t="n">
        <v>44</v>
      </c>
      <c r="B56" s="7" t="s">
        <v>144</v>
      </c>
      <c r="C56" s="8" t="s">
        <v>145</v>
      </c>
      <c r="D56" s="7" t="s">
        <v>66</v>
      </c>
      <c r="E56" s="7" t="s">
        <v>113</v>
      </c>
      <c r="F56" s="7" t="s">
        <v>146</v>
      </c>
      <c r="G56" s="10" t="n">
        <v>7920</v>
      </c>
      <c r="H56" s="11"/>
      <c r="I56" s="10" t="str">
        <f aca="false">IF(H56="","",IF(H56&gt;G56,H56-G56,0))</f>
        <v/>
      </c>
      <c r="J56" s="10" t="str">
        <f aca="false">IF(H56="","",IF(H56&lt;G56,G56-H56,0))</f>
        <v/>
      </c>
      <c r="K56" s="12"/>
    </row>
    <row r="57" customFormat="false" ht="15" hidden="false" customHeight="false" outlineLevel="0" collapsed="false">
      <c r="A57" s="7" t="n">
        <v>45</v>
      </c>
      <c r="B57" s="7" t="s">
        <v>147</v>
      </c>
      <c r="C57" s="8" t="s">
        <v>148</v>
      </c>
      <c r="D57" s="7" t="s">
        <v>29</v>
      </c>
      <c r="E57" s="7" t="s">
        <v>149</v>
      </c>
      <c r="F57" s="7" t="s">
        <v>150</v>
      </c>
      <c r="G57" s="10" t="n">
        <v>37800</v>
      </c>
      <c r="H57" s="11"/>
      <c r="I57" s="10" t="str">
        <f aca="false">IF(H57="","",IF(H57&gt;G57,H57-G57,0))</f>
        <v/>
      </c>
      <c r="J57" s="10" t="str">
        <f aca="false">IF(H57="","",IF(H57&lt;G57,G57-H57,0))</f>
        <v/>
      </c>
      <c r="K57" s="12"/>
    </row>
    <row r="58" customFormat="false" ht="15" hidden="false" customHeight="false" outlineLevel="0" collapsed="false">
      <c r="A58" s="7" t="n">
        <v>46</v>
      </c>
      <c r="B58" s="7" t="s">
        <v>151</v>
      </c>
      <c r="C58" s="8" t="s">
        <v>152</v>
      </c>
      <c r="D58" s="7" t="s">
        <v>29</v>
      </c>
      <c r="E58" s="7" t="s">
        <v>153</v>
      </c>
      <c r="F58" s="7" t="s">
        <v>154</v>
      </c>
      <c r="G58" s="10" t="n">
        <v>5600</v>
      </c>
      <c r="H58" s="11"/>
      <c r="I58" s="10" t="str">
        <f aca="false">IF(H58="","",IF(H58&gt;G58,H58-G58,0))</f>
        <v/>
      </c>
      <c r="J58" s="10" t="str">
        <f aca="false">IF(H58="","",IF(H58&lt;G58,G58-H58,0))</f>
        <v/>
      </c>
      <c r="K58" s="12"/>
    </row>
    <row r="59" customFormat="false" ht="15" hidden="false" customHeight="false" outlineLevel="0" collapsed="false">
      <c r="A59" s="7" t="n">
        <v>47</v>
      </c>
      <c r="B59" s="7" t="s">
        <v>155</v>
      </c>
      <c r="C59" s="8" t="s">
        <v>156</v>
      </c>
      <c r="D59" s="7" t="s">
        <v>42</v>
      </c>
      <c r="E59" s="7" t="s">
        <v>157</v>
      </c>
      <c r="F59" s="7" t="s">
        <v>158</v>
      </c>
      <c r="G59" s="10" t="n">
        <v>3600</v>
      </c>
      <c r="H59" s="11"/>
      <c r="I59" s="10" t="str">
        <f aca="false">IF(H59="","",IF(H59&gt;G59,H59-G59,0))</f>
        <v/>
      </c>
      <c r="J59" s="10" t="str">
        <f aca="false">IF(H59="","",IF(H59&lt;G59,G59-H59,0))</f>
        <v/>
      </c>
      <c r="K59" s="12"/>
    </row>
    <row r="60" customFormat="false" ht="26.85" hidden="false" customHeight="false" outlineLevel="0" collapsed="false">
      <c r="A60" s="7" t="n">
        <v>48</v>
      </c>
      <c r="B60" s="7" t="s">
        <v>159</v>
      </c>
      <c r="C60" s="8" t="s">
        <v>160</v>
      </c>
      <c r="D60" s="7" t="s">
        <v>42</v>
      </c>
      <c r="E60" s="7" t="s">
        <v>161</v>
      </c>
      <c r="F60" s="7" t="s">
        <v>162</v>
      </c>
      <c r="G60" s="10" t="n">
        <v>960</v>
      </c>
      <c r="H60" s="11"/>
      <c r="I60" s="10" t="str">
        <f aca="false">IF(H60="","",IF(H60&gt;G60,H60-G60,0))</f>
        <v/>
      </c>
      <c r="J60" s="10" t="str">
        <f aca="false">IF(H60="","",IF(H60&lt;G60,G60-H60,0))</f>
        <v/>
      </c>
      <c r="K60" s="12"/>
    </row>
    <row r="61" customFormat="false" ht="15" hidden="false" customHeight="false" outlineLevel="0" collapsed="false">
      <c r="A61" s="7" t="n">
        <v>49</v>
      </c>
      <c r="B61" s="7" t="s">
        <v>163</v>
      </c>
      <c r="C61" s="8" t="s">
        <v>164</v>
      </c>
      <c r="D61" s="7" t="s">
        <v>42</v>
      </c>
      <c r="E61" s="7" t="s">
        <v>165</v>
      </c>
      <c r="F61" s="7" t="s">
        <v>166</v>
      </c>
      <c r="G61" s="10" t="n">
        <v>1080</v>
      </c>
      <c r="H61" s="11"/>
      <c r="I61" s="10" t="str">
        <f aca="false">IF(H61="","",IF(H61&gt;G61,H61-G61,0))</f>
        <v/>
      </c>
      <c r="J61" s="10" t="str">
        <f aca="false">IF(H61="","",IF(H61&lt;G61,G61-H61,0))</f>
        <v/>
      </c>
      <c r="K61" s="12"/>
    </row>
    <row r="62" customFormat="false" ht="15" hidden="false" customHeight="false" outlineLevel="0" collapsed="false">
      <c r="A62" s="7" t="n">
        <v>50</v>
      </c>
      <c r="B62" s="7" t="s">
        <v>167</v>
      </c>
      <c r="C62" s="8" t="s">
        <v>168</v>
      </c>
      <c r="D62" s="7" t="s">
        <v>29</v>
      </c>
      <c r="E62" s="7" t="s">
        <v>169</v>
      </c>
      <c r="F62" s="7" t="s">
        <v>170</v>
      </c>
      <c r="G62" s="10" t="n">
        <v>1350</v>
      </c>
      <c r="H62" s="11"/>
      <c r="I62" s="10" t="str">
        <f aca="false">IF(H62="","",IF(H62&gt;G62,H62-G62,0))</f>
        <v/>
      </c>
      <c r="J62" s="10" t="str">
        <f aca="false">IF(H62="","",IF(H62&lt;G62,G62-H62,0))</f>
        <v/>
      </c>
      <c r="K62" s="12"/>
    </row>
    <row r="63" customFormat="false" ht="15" hidden="false" customHeight="false" outlineLevel="0" collapsed="false">
      <c r="A63" s="7" t="n">
        <v>51</v>
      </c>
      <c r="B63" s="7" t="s">
        <v>171</v>
      </c>
      <c r="C63" s="8" t="s">
        <v>172</v>
      </c>
      <c r="D63" s="7" t="s">
        <v>66</v>
      </c>
      <c r="E63" s="7" t="s">
        <v>173</v>
      </c>
      <c r="F63" s="7" t="s">
        <v>174</v>
      </c>
      <c r="G63" s="10" t="n">
        <v>16200</v>
      </c>
      <c r="H63" s="11"/>
      <c r="I63" s="10" t="str">
        <f aca="false">IF(H63="","",IF(H63&gt;G63,H63-G63,0))</f>
        <v/>
      </c>
      <c r="J63" s="10" t="str">
        <f aca="false">IF(H63="","",IF(H63&lt;G63,G63-H63,0))</f>
        <v/>
      </c>
      <c r="K63" s="12"/>
    </row>
    <row r="64" customFormat="false" ht="15" hidden="false" customHeight="false" outlineLevel="0" collapsed="false">
      <c r="A64" s="7" t="n">
        <v>52</v>
      </c>
      <c r="B64" s="7" t="s">
        <v>175</v>
      </c>
      <c r="C64" s="8" t="s">
        <v>176</v>
      </c>
      <c r="D64" s="7" t="s">
        <v>66</v>
      </c>
      <c r="E64" s="7" t="s">
        <v>30</v>
      </c>
      <c r="F64" s="7" t="s">
        <v>177</v>
      </c>
      <c r="G64" s="10" t="n">
        <v>11760</v>
      </c>
      <c r="H64" s="11"/>
      <c r="I64" s="10" t="str">
        <f aca="false">IF(H64="","",IF(H64&gt;G64,H64-G64,0))</f>
        <v/>
      </c>
      <c r="J64" s="10" t="str">
        <f aca="false">IF(H64="","",IF(H64&lt;G64,G64-H64,0))</f>
        <v/>
      </c>
      <c r="K64" s="12"/>
    </row>
    <row r="65" customFormat="false" ht="15" hidden="false" customHeight="false" outlineLevel="0" collapsed="false">
      <c r="A65" s="7" t="n">
        <v>53</v>
      </c>
      <c r="B65" s="7" t="s">
        <v>178</v>
      </c>
      <c r="C65" s="8" t="s">
        <v>179</v>
      </c>
      <c r="D65" s="7" t="s">
        <v>29</v>
      </c>
      <c r="E65" s="7" t="s">
        <v>113</v>
      </c>
      <c r="F65" s="7" t="s">
        <v>180</v>
      </c>
      <c r="G65" s="10" t="n">
        <v>2800</v>
      </c>
      <c r="H65" s="11"/>
      <c r="I65" s="10" t="str">
        <f aca="false">IF(H65="","",IF(H65&gt;G65,H65-G65,0))</f>
        <v/>
      </c>
      <c r="J65" s="10" t="str">
        <f aca="false">IF(H65="","",IF(H65&lt;G65,G65-H65,0))</f>
        <v/>
      </c>
      <c r="K65" s="12"/>
    </row>
    <row r="66" customFormat="false" ht="15" hidden="false" customHeight="false" outlineLevel="0" collapsed="false">
      <c r="A66" s="7" t="n">
        <v>54</v>
      </c>
      <c r="B66" s="7" t="s">
        <v>181</v>
      </c>
      <c r="C66" s="8" t="s">
        <v>182</v>
      </c>
      <c r="D66" s="7" t="s">
        <v>42</v>
      </c>
      <c r="E66" s="7" t="s">
        <v>183</v>
      </c>
      <c r="F66" s="7" t="s">
        <v>184</v>
      </c>
      <c r="G66" s="10" t="n">
        <v>240</v>
      </c>
      <c r="H66" s="11"/>
      <c r="I66" s="10" t="str">
        <f aca="false">IF(H66="","",IF(H66&gt;G66,H66-G66,0))</f>
        <v/>
      </c>
      <c r="J66" s="10" t="str">
        <f aca="false">IF(H66="","",IF(H66&lt;G66,G66-H66,0))</f>
        <v/>
      </c>
      <c r="K66" s="12"/>
    </row>
    <row r="67" customFormat="false" ht="15" hidden="false" customHeight="false" outlineLevel="0" collapsed="false">
      <c r="A67" s="7" t="n">
        <v>55</v>
      </c>
      <c r="B67" s="7" t="s">
        <v>185</v>
      </c>
      <c r="C67" s="8" t="s">
        <v>186</v>
      </c>
      <c r="D67" s="7" t="s">
        <v>42</v>
      </c>
      <c r="E67" s="7" t="s">
        <v>187</v>
      </c>
      <c r="F67" s="7" t="s">
        <v>188</v>
      </c>
      <c r="G67" s="10" t="n">
        <v>432</v>
      </c>
      <c r="H67" s="11"/>
      <c r="I67" s="10" t="str">
        <f aca="false">IF(H67="","",IF(H67&gt;G67,H67-G67,0))</f>
        <v/>
      </c>
      <c r="J67" s="10" t="str">
        <f aca="false">IF(H67="","",IF(H67&lt;G67,G67-H67,0))</f>
        <v/>
      </c>
      <c r="K67" s="12"/>
    </row>
    <row r="68" customFormat="false" ht="26.85" hidden="false" customHeight="false" outlineLevel="0" collapsed="false">
      <c r="A68" s="7" t="n">
        <v>56</v>
      </c>
      <c r="B68" s="7" t="s">
        <v>189</v>
      </c>
      <c r="C68" s="8" t="s">
        <v>190</v>
      </c>
      <c r="D68" s="7" t="s">
        <v>29</v>
      </c>
      <c r="E68" s="7" t="s">
        <v>191</v>
      </c>
      <c r="F68" s="7" t="s">
        <v>192</v>
      </c>
      <c r="G68" s="10" t="n">
        <v>6600</v>
      </c>
      <c r="H68" s="11"/>
      <c r="I68" s="10" t="str">
        <f aca="false">IF(H68="","",IF(H68&gt;G68,H68-G68,0))</f>
        <v/>
      </c>
      <c r="J68" s="10" t="str">
        <f aca="false">IF(H68="","",IF(H68&lt;G68,G68-H68,0))</f>
        <v/>
      </c>
      <c r="K68" s="12"/>
    </row>
    <row r="69" customFormat="false" ht="15" hidden="false" customHeight="false" outlineLevel="0" collapsed="false">
      <c r="A69" s="7" t="n">
        <v>57</v>
      </c>
      <c r="B69" s="7" t="s">
        <v>193</v>
      </c>
      <c r="C69" s="8" t="s">
        <v>194</v>
      </c>
      <c r="D69" s="7" t="s">
        <v>42</v>
      </c>
      <c r="E69" s="7" t="s">
        <v>195</v>
      </c>
      <c r="F69" s="7" t="s">
        <v>196</v>
      </c>
      <c r="G69" s="10" t="n">
        <v>1500</v>
      </c>
      <c r="H69" s="11"/>
      <c r="I69" s="10" t="str">
        <f aca="false">IF(H69="","",IF(H69&gt;G69,H69-G69,0))</f>
        <v/>
      </c>
      <c r="J69" s="10" t="str">
        <f aca="false">IF(H69="","",IF(H69&lt;G69,G69-H69,0))</f>
        <v/>
      </c>
      <c r="K69" s="12"/>
    </row>
    <row r="70" customFormat="false" ht="15" hidden="false" customHeight="false" outlineLevel="0" collapsed="false">
      <c r="A70" s="7" t="n">
        <v>58</v>
      </c>
      <c r="B70" s="7" t="s">
        <v>197</v>
      </c>
      <c r="C70" s="8" t="s">
        <v>198</v>
      </c>
      <c r="D70" s="7" t="s">
        <v>29</v>
      </c>
      <c r="E70" s="7" t="s">
        <v>199</v>
      </c>
      <c r="F70" s="7" t="s">
        <v>200</v>
      </c>
      <c r="G70" s="10" t="n">
        <v>24000</v>
      </c>
      <c r="H70" s="11"/>
      <c r="I70" s="10" t="str">
        <f aca="false">IF(H70="","",IF(H70&gt;G70,H70-G70,0))</f>
        <v/>
      </c>
      <c r="J70" s="10" t="str">
        <f aca="false">IF(H70="","",IF(H70&lt;G70,G70-H70,0))</f>
        <v/>
      </c>
      <c r="K70" s="12"/>
    </row>
    <row r="71" customFormat="false" ht="15" hidden="false" customHeight="false" outlineLevel="0" collapsed="false">
      <c r="A71" s="7" t="n">
        <v>59</v>
      </c>
      <c r="B71" s="7" t="s">
        <v>201</v>
      </c>
      <c r="C71" s="8" t="s">
        <v>202</v>
      </c>
      <c r="D71" s="7" t="s">
        <v>42</v>
      </c>
      <c r="E71" s="7" t="s">
        <v>203</v>
      </c>
      <c r="F71" s="7" t="s">
        <v>204</v>
      </c>
      <c r="G71" s="10" t="n">
        <v>1280</v>
      </c>
      <c r="H71" s="11"/>
      <c r="I71" s="10" t="str">
        <f aca="false">IF(H71="","",IF(H71&gt;G71,H71-G71,0))</f>
        <v/>
      </c>
      <c r="J71" s="10" t="str">
        <f aca="false">IF(H71="","",IF(H71&lt;G71,G71-H71,0))</f>
        <v/>
      </c>
      <c r="K71" s="12"/>
    </row>
    <row r="72" customFormat="false" ht="15" hidden="false" customHeight="false" outlineLevel="0" collapsed="false">
      <c r="A72" s="7" t="n">
        <v>60</v>
      </c>
      <c r="B72" s="7" t="s">
        <v>205</v>
      </c>
      <c r="C72" s="8" t="s">
        <v>206</v>
      </c>
      <c r="D72" s="7" t="s">
        <v>42</v>
      </c>
      <c r="E72" s="7" t="s">
        <v>113</v>
      </c>
      <c r="F72" s="7" t="s">
        <v>207</v>
      </c>
      <c r="G72" s="10" t="n">
        <v>1600</v>
      </c>
      <c r="H72" s="11"/>
      <c r="I72" s="10" t="str">
        <f aca="false">IF(H72="","",IF(H72&gt;G72,H72-G72,0))</f>
        <v/>
      </c>
      <c r="J72" s="10" t="str">
        <f aca="false">IF(H72="","",IF(H72&lt;G72,G72-H72,0))</f>
        <v/>
      </c>
      <c r="K72" s="12"/>
    </row>
    <row r="73" customFormat="false" ht="15" hidden="false" customHeight="false" outlineLevel="0" collapsed="false">
      <c r="A73" s="7" t="n">
        <v>61</v>
      </c>
      <c r="B73" s="7" t="s">
        <v>208</v>
      </c>
      <c r="C73" s="8" t="s">
        <v>209</v>
      </c>
      <c r="D73" s="7" t="s">
        <v>42</v>
      </c>
      <c r="E73" s="7" t="s">
        <v>210</v>
      </c>
      <c r="F73" s="7" t="s">
        <v>211</v>
      </c>
      <c r="G73" s="10" t="n">
        <v>6300</v>
      </c>
      <c r="H73" s="11"/>
      <c r="I73" s="10" t="str">
        <f aca="false">IF(H73="","",IF(H73&gt;G73,H73-G73,0))</f>
        <v/>
      </c>
      <c r="J73" s="10" t="str">
        <f aca="false">IF(H73="","",IF(H73&lt;G73,G73-H73,0))</f>
        <v/>
      </c>
      <c r="K73" s="12"/>
    </row>
    <row r="74" customFormat="false" ht="15" hidden="false" customHeight="false" outlineLevel="0" collapsed="false">
      <c r="A74" s="7" t="n">
        <v>62</v>
      </c>
      <c r="B74" s="7" t="s">
        <v>212</v>
      </c>
      <c r="C74" s="8" t="s">
        <v>213</v>
      </c>
      <c r="D74" s="7" t="s">
        <v>29</v>
      </c>
      <c r="E74" s="7" t="s">
        <v>30</v>
      </c>
      <c r="F74" s="7" t="s">
        <v>214</v>
      </c>
      <c r="G74" s="10" t="n">
        <v>2250</v>
      </c>
      <c r="H74" s="11"/>
      <c r="I74" s="10" t="str">
        <f aca="false">IF(H74="","",IF(H74&gt;G74,H74-G74,0))</f>
        <v/>
      </c>
      <c r="J74" s="10" t="str">
        <f aca="false">IF(H74="","",IF(H74&lt;G74,G74-H74,0))</f>
        <v/>
      </c>
      <c r="K74" s="12"/>
    </row>
    <row r="75" customFormat="false" ht="15" hidden="false" customHeight="false" outlineLevel="0" collapsed="false">
      <c r="A75" s="7" t="n">
        <v>63</v>
      </c>
      <c r="B75" s="7" t="s">
        <v>215</v>
      </c>
      <c r="C75" s="8" t="s">
        <v>216</v>
      </c>
      <c r="D75" s="7" t="s">
        <v>29</v>
      </c>
      <c r="E75" s="7" t="s">
        <v>217</v>
      </c>
      <c r="F75" s="7" t="s">
        <v>218</v>
      </c>
      <c r="G75" s="10" t="n">
        <v>1050</v>
      </c>
      <c r="H75" s="11"/>
      <c r="I75" s="10" t="str">
        <f aca="false">IF(H75="","",IF(H75&gt;G75,H75-G75,0))</f>
        <v/>
      </c>
      <c r="J75" s="10" t="str">
        <f aca="false">IF(H75="","",IF(H75&lt;G75,G75-H75,0))</f>
        <v/>
      </c>
      <c r="K75" s="12"/>
    </row>
    <row r="76" customFormat="false" ht="15" hidden="false" customHeight="false" outlineLevel="0" collapsed="false">
      <c r="A76" s="7" t="n">
        <v>64</v>
      </c>
      <c r="B76" s="7" t="s">
        <v>219</v>
      </c>
      <c r="C76" s="8" t="s">
        <v>220</v>
      </c>
      <c r="D76" s="7" t="s">
        <v>221</v>
      </c>
      <c r="E76" s="7" t="s">
        <v>222</v>
      </c>
      <c r="F76" s="7" t="s">
        <v>223</v>
      </c>
      <c r="G76" s="10" t="n">
        <v>1000</v>
      </c>
      <c r="H76" s="11"/>
      <c r="I76" s="10" t="str">
        <f aca="false">IF(H76="","",IF(H76&gt;G76,H76-G76,0))</f>
        <v/>
      </c>
      <c r="J76" s="10" t="str">
        <f aca="false">IF(H76="","",IF(H76&lt;G76,G76-H76,0))</f>
        <v/>
      </c>
      <c r="K76" s="12"/>
    </row>
    <row r="77" customFormat="false" ht="15" hidden="false" customHeight="false" outlineLevel="0" collapsed="false">
      <c r="A77" s="7" t="n">
        <v>65</v>
      </c>
      <c r="B77" s="7" t="s">
        <v>224</v>
      </c>
      <c r="C77" s="8" t="s">
        <v>225</v>
      </c>
      <c r="D77" s="7" t="s">
        <v>42</v>
      </c>
      <c r="E77" s="7" t="s">
        <v>226</v>
      </c>
      <c r="F77" s="7" t="s">
        <v>227</v>
      </c>
      <c r="G77" s="10" t="n">
        <v>1350</v>
      </c>
      <c r="H77" s="11"/>
      <c r="I77" s="10" t="str">
        <f aca="false">IF(H77="","",IF(H77&gt;G77,H77-G77,0))</f>
        <v/>
      </c>
      <c r="J77" s="10" t="str">
        <f aca="false">IF(H77="","",IF(H77&lt;G77,G77-H77,0))</f>
        <v/>
      </c>
      <c r="K77" s="12"/>
    </row>
    <row r="78" customFormat="false" ht="15" hidden="false" customHeight="false" outlineLevel="0" collapsed="false">
      <c r="A78" s="7" t="n">
        <v>66</v>
      </c>
      <c r="B78" s="7" t="s">
        <v>228</v>
      </c>
      <c r="C78" s="8" t="s">
        <v>229</v>
      </c>
      <c r="D78" s="7" t="s">
        <v>42</v>
      </c>
      <c r="E78" s="7" t="s">
        <v>230</v>
      </c>
      <c r="F78" s="7" t="s">
        <v>231</v>
      </c>
      <c r="G78" s="10" t="n">
        <v>432</v>
      </c>
      <c r="H78" s="11"/>
      <c r="I78" s="10" t="str">
        <f aca="false">IF(H78="","",IF(H78&gt;G78,H78-G78,0))</f>
        <v/>
      </c>
      <c r="J78" s="10" t="str">
        <f aca="false">IF(H78="","",IF(H78&lt;G78,G78-H78,0))</f>
        <v/>
      </c>
      <c r="K78" s="12"/>
    </row>
    <row r="79" customFormat="false" ht="15" hidden="false" customHeight="false" outlineLevel="0" collapsed="false">
      <c r="A79" s="7" t="n">
        <v>67</v>
      </c>
      <c r="B79" s="7" t="s">
        <v>232</v>
      </c>
      <c r="C79" s="8" t="s">
        <v>233</v>
      </c>
      <c r="D79" s="7" t="s">
        <v>26</v>
      </c>
      <c r="E79" s="7" t="s">
        <v>234</v>
      </c>
      <c r="F79" s="7" t="s">
        <v>235</v>
      </c>
      <c r="G79" s="10" t="n">
        <v>976</v>
      </c>
      <c r="H79" s="11"/>
      <c r="I79" s="10" t="str">
        <f aca="false">IF(H79="","",IF(H79&gt;G79,H79-G79,0))</f>
        <v/>
      </c>
      <c r="J79" s="10" t="str">
        <f aca="false">IF(H79="","",IF(H79&lt;G79,G79-H79,0))</f>
        <v/>
      </c>
      <c r="K79" s="12"/>
    </row>
    <row r="80" customFormat="false" ht="15" hidden="false" customHeight="false" outlineLevel="0" collapsed="false">
      <c r="A80" s="7" t="n">
        <v>68</v>
      </c>
      <c r="B80" s="7" t="s">
        <v>232</v>
      </c>
      <c r="C80" s="8" t="s">
        <v>233</v>
      </c>
      <c r="D80" s="7" t="s">
        <v>26</v>
      </c>
      <c r="E80" s="7" t="s">
        <v>236</v>
      </c>
      <c r="F80" s="7" t="s">
        <v>235</v>
      </c>
      <c r="G80" s="10" t="n">
        <v>240</v>
      </c>
      <c r="H80" s="11"/>
      <c r="I80" s="10" t="str">
        <f aca="false">IF(H80="","",IF(H80&gt;G80,H80-G80,0))</f>
        <v/>
      </c>
      <c r="J80" s="10" t="str">
        <f aca="false">IF(H80="","",IF(H80&lt;G80,G80-H80,0))</f>
        <v/>
      </c>
      <c r="K80" s="12"/>
    </row>
    <row r="81" customFormat="false" ht="15" hidden="false" customHeight="false" outlineLevel="0" collapsed="false">
      <c r="A81" s="7" t="n">
        <v>69</v>
      </c>
      <c r="B81" s="7" t="s">
        <v>237</v>
      </c>
      <c r="C81" s="8" t="s">
        <v>238</v>
      </c>
      <c r="D81" s="7" t="s">
        <v>29</v>
      </c>
      <c r="E81" s="7" t="s">
        <v>169</v>
      </c>
      <c r="F81" s="7" t="s">
        <v>239</v>
      </c>
      <c r="G81" s="10" t="n">
        <v>2620</v>
      </c>
      <c r="H81" s="11"/>
      <c r="I81" s="10" t="str">
        <f aca="false">IF(H81="","",IF(H81&gt;G81,H81-G81,0))</f>
        <v/>
      </c>
      <c r="J81" s="10" t="str">
        <f aca="false">IF(H81="","",IF(H81&lt;G81,G81-H81,0))</f>
        <v/>
      </c>
      <c r="K81" s="12"/>
    </row>
    <row r="82" customFormat="false" ht="15" hidden="false" customHeight="false" outlineLevel="0" collapsed="false">
      <c r="A82" s="7" t="n">
        <v>70</v>
      </c>
      <c r="B82" s="7" t="s">
        <v>237</v>
      </c>
      <c r="C82" s="8" t="s">
        <v>238</v>
      </c>
      <c r="D82" s="7" t="s">
        <v>29</v>
      </c>
      <c r="E82" s="7" t="s">
        <v>240</v>
      </c>
      <c r="F82" s="7" t="s">
        <v>241</v>
      </c>
      <c r="G82" s="10" t="n">
        <v>3960</v>
      </c>
      <c r="H82" s="11"/>
      <c r="I82" s="10" t="str">
        <f aca="false">IF(H82="","",IF(H82&gt;G82,H82-G82,0))</f>
        <v/>
      </c>
      <c r="J82" s="10" t="str">
        <f aca="false">IF(H82="","",IF(H82&lt;G82,G82-H82,0))</f>
        <v/>
      </c>
      <c r="K82" s="12"/>
    </row>
    <row r="83" customFormat="false" ht="15" hidden="false" customHeight="false" outlineLevel="0" collapsed="false">
      <c r="A83" s="7" t="n">
        <v>71</v>
      </c>
      <c r="B83" s="7" t="s">
        <v>242</v>
      </c>
      <c r="C83" s="8" t="s">
        <v>243</v>
      </c>
      <c r="D83" s="7" t="s">
        <v>29</v>
      </c>
      <c r="E83" s="7" t="s">
        <v>244</v>
      </c>
      <c r="F83" s="7" t="s">
        <v>245</v>
      </c>
      <c r="G83" s="10" t="n">
        <v>25760</v>
      </c>
      <c r="H83" s="11"/>
      <c r="I83" s="10" t="str">
        <f aca="false">IF(H83="","",IF(H83&gt;G83,H83-G83,0))</f>
        <v/>
      </c>
      <c r="J83" s="10" t="str">
        <f aca="false">IF(H83="","",IF(H83&lt;G83,G83-H83,0))</f>
        <v/>
      </c>
      <c r="K83" s="12"/>
    </row>
    <row r="84" customFormat="false" ht="15" hidden="false" customHeight="false" outlineLevel="0" collapsed="false">
      <c r="A84" s="7" t="n">
        <v>72</v>
      </c>
      <c r="B84" s="7" t="s">
        <v>242</v>
      </c>
      <c r="C84" s="8" t="s">
        <v>243</v>
      </c>
      <c r="D84" s="7" t="s">
        <v>29</v>
      </c>
      <c r="E84" s="7" t="s">
        <v>246</v>
      </c>
      <c r="F84" s="7" t="s">
        <v>247</v>
      </c>
      <c r="G84" s="10" t="n">
        <v>11520</v>
      </c>
      <c r="H84" s="11"/>
      <c r="I84" s="10" t="str">
        <f aca="false">IF(H84="","",IF(H84&gt;G84,H84-G84,0))</f>
        <v/>
      </c>
      <c r="J84" s="10" t="str">
        <f aca="false">IF(H84="","",IF(H84&lt;G84,G84-H84,0))</f>
        <v/>
      </c>
      <c r="K84" s="12"/>
    </row>
    <row r="85" customFormat="false" ht="15" hidden="false" customHeight="false" outlineLevel="0" collapsed="false">
      <c r="A85" s="7" t="n">
        <v>73</v>
      </c>
      <c r="B85" s="7" t="s">
        <v>248</v>
      </c>
      <c r="C85" s="8" t="s">
        <v>249</v>
      </c>
      <c r="D85" s="7" t="s">
        <v>29</v>
      </c>
      <c r="E85" s="7" t="s">
        <v>250</v>
      </c>
      <c r="F85" s="7" t="s">
        <v>251</v>
      </c>
      <c r="G85" s="10" t="n">
        <v>16000</v>
      </c>
      <c r="H85" s="11"/>
      <c r="I85" s="10" t="str">
        <f aca="false">IF(H85="","",IF(H85&gt;G85,H85-G85,0))</f>
        <v/>
      </c>
      <c r="J85" s="10" t="str">
        <f aca="false">IF(H85="","",IF(H85&lt;G85,G85-H85,0))</f>
        <v/>
      </c>
      <c r="K85" s="12"/>
    </row>
    <row r="86" customFormat="false" ht="15" hidden="false" customHeight="false" outlineLevel="0" collapsed="false">
      <c r="A86" s="7" t="n">
        <v>74</v>
      </c>
      <c r="B86" s="7" t="s">
        <v>252</v>
      </c>
      <c r="C86" s="8" t="s">
        <v>253</v>
      </c>
      <c r="D86" s="7" t="s">
        <v>254</v>
      </c>
      <c r="E86" s="7" t="s">
        <v>255</v>
      </c>
      <c r="F86" s="7" t="s">
        <v>256</v>
      </c>
      <c r="G86" s="10" t="n">
        <v>1800</v>
      </c>
      <c r="H86" s="11"/>
      <c r="I86" s="10" t="str">
        <f aca="false">IF(H86="","",IF(H86&gt;G86,H86-G86,0))</f>
        <v/>
      </c>
      <c r="J86" s="10" t="str">
        <f aca="false">IF(H86="","",IF(H86&lt;G86,G86-H86,0))</f>
        <v/>
      </c>
      <c r="K86" s="12"/>
    </row>
    <row r="87" customFormat="false" ht="15" hidden="false" customHeight="false" outlineLevel="0" collapsed="false">
      <c r="A87" s="7" t="n">
        <v>75</v>
      </c>
      <c r="B87" s="7" t="s">
        <v>257</v>
      </c>
      <c r="C87" s="8" t="s">
        <v>258</v>
      </c>
      <c r="D87" s="7" t="s">
        <v>29</v>
      </c>
      <c r="E87" s="7" t="s">
        <v>113</v>
      </c>
      <c r="F87" s="7" t="s">
        <v>259</v>
      </c>
      <c r="G87" s="10" t="n">
        <v>3000</v>
      </c>
      <c r="H87" s="11"/>
      <c r="I87" s="10" t="str">
        <f aca="false">IF(H87="","",IF(H87&gt;G87,H87-G87,0))</f>
        <v/>
      </c>
      <c r="J87" s="10" t="str">
        <f aca="false">IF(H87="","",IF(H87&lt;G87,G87-H87,0))</f>
        <v/>
      </c>
      <c r="K87" s="12"/>
    </row>
    <row r="88" customFormat="false" ht="15" hidden="false" customHeight="false" outlineLevel="0" collapsed="false">
      <c r="A88" s="7" t="n">
        <v>76</v>
      </c>
      <c r="B88" s="7" t="s">
        <v>260</v>
      </c>
      <c r="C88" s="8" t="s">
        <v>261</v>
      </c>
      <c r="D88" s="7" t="s">
        <v>29</v>
      </c>
      <c r="E88" s="7" t="s">
        <v>262</v>
      </c>
      <c r="F88" s="7" t="s">
        <v>192</v>
      </c>
      <c r="G88" s="10" t="n">
        <v>1500</v>
      </c>
      <c r="H88" s="11"/>
      <c r="I88" s="10" t="str">
        <f aca="false">IF(H88="","",IF(H88&gt;G88,H88-G88,0))</f>
        <v/>
      </c>
      <c r="J88" s="10" t="str">
        <f aca="false">IF(H88="","",IF(H88&lt;G88,G88-H88,0))</f>
        <v/>
      </c>
      <c r="K88" s="12"/>
    </row>
    <row r="89" customFormat="false" ht="26.85" hidden="false" customHeight="false" outlineLevel="0" collapsed="false">
      <c r="A89" s="7" t="n">
        <v>77</v>
      </c>
      <c r="B89" s="7" t="s">
        <v>263</v>
      </c>
      <c r="C89" s="8" t="s">
        <v>264</v>
      </c>
      <c r="D89" s="7" t="s">
        <v>29</v>
      </c>
      <c r="E89" s="7" t="s">
        <v>110</v>
      </c>
      <c r="F89" s="7" t="s">
        <v>265</v>
      </c>
      <c r="G89" s="10" t="n">
        <v>6000</v>
      </c>
      <c r="H89" s="11"/>
      <c r="I89" s="10" t="str">
        <f aca="false">IF(H89="","",IF(H89&gt;G89,H89-G89,0))</f>
        <v/>
      </c>
      <c r="J89" s="10" t="str">
        <f aca="false">IF(H89="","",IF(H89&lt;G89,G89-H89,0))</f>
        <v/>
      </c>
      <c r="K89" s="12"/>
    </row>
    <row r="90" customFormat="false" ht="15" hidden="false" customHeight="false" outlineLevel="0" collapsed="false">
      <c r="A90" s="7" t="n">
        <v>78</v>
      </c>
      <c r="B90" s="7" t="s">
        <v>266</v>
      </c>
      <c r="C90" s="8" t="s">
        <v>267</v>
      </c>
      <c r="D90" s="7" t="s">
        <v>46</v>
      </c>
      <c r="E90" s="7" t="s">
        <v>268</v>
      </c>
      <c r="F90" s="7" t="s">
        <v>269</v>
      </c>
      <c r="G90" s="10" t="n">
        <v>2270</v>
      </c>
      <c r="H90" s="11"/>
      <c r="I90" s="10" t="str">
        <f aca="false">IF(H90="","",IF(H90&gt;G90,H90-G90,0))</f>
        <v/>
      </c>
      <c r="J90" s="10" t="str">
        <f aca="false">IF(H90="","",IF(H90&lt;G90,G90-H90,0))</f>
        <v/>
      </c>
      <c r="K90" s="12"/>
    </row>
    <row r="91" customFormat="false" ht="15" hidden="false" customHeight="false" outlineLevel="0" collapsed="false">
      <c r="A91" s="7" t="n">
        <v>79</v>
      </c>
      <c r="B91" s="7" t="s">
        <v>266</v>
      </c>
      <c r="C91" s="8" t="s">
        <v>267</v>
      </c>
      <c r="D91" s="7" t="s">
        <v>46</v>
      </c>
      <c r="E91" s="7" t="s">
        <v>270</v>
      </c>
      <c r="F91" s="7" t="s">
        <v>269</v>
      </c>
      <c r="G91" s="10" t="n">
        <v>3720</v>
      </c>
      <c r="H91" s="11"/>
      <c r="I91" s="10" t="str">
        <f aca="false">IF(H91="","",IF(H91&gt;G91,H91-G91,0))</f>
        <v/>
      </c>
      <c r="J91" s="10" t="str">
        <f aca="false">IF(H91="","",IF(H91&lt;G91,G91-H91,0))</f>
        <v/>
      </c>
      <c r="K91" s="12"/>
    </row>
    <row r="92" customFormat="false" ht="26.85" hidden="false" customHeight="false" outlineLevel="0" collapsed="false">
      <c r="A92" s="7" t="n">
        <v>80</v>
      </c>
      <c r="B92" s="7" t="s">
        <v>271</v>
      </c>
      <c r="C92" s="8" t="s">
        <v>272</v>
      </c>
      <c r="D92" s="7" t="s">
        <v>42</v>
      </c>
      <c r="E92" s="7" t="s">
        <v>273</v>
      </c>
      <c r="F92" s="9"/>
      <c r="G92" s="10" t="n">
        <v>288</v>
      </c>
      <c r="H92" s="11"/>
      <c r="I92" s="10" t="str">
        <f aca="false">IF(H92="","",IF(H92&gt;G92,H92-G92,0))</f>
        <v/>
      </c>
      <c r="J92" s="10" t="str">
        <f aca="false">IF(H92="","",IF(H92&lt;G92,G92-H92,0))</f>
        <v/>
      </c>
      <c r="K92" s="12"/>
    </row>
    <row r="93" customFormat="false" ht="15" hidden="false" customHeight="false" outlineLevel="0" collapsed="false">
      <c r="A93" s="7" t="n">
        <v>81</v>
      </c>
      <c r="B93" s="7" t="s">
        <v>274</v>
      </c>
      <c r="C93" s="8" t="s">
        <v>275</v>
      </c>
      <c r="D93" s="7" t="s">
        <v>29</v>
      </c>
      <c r="E93" s="7" t="s">
        <v>276</v>
      </c>
      <c r="F93" s="9"/>
      <c r="G93" s="10" t="n">
        <v>28000</v>
      </c>
      <c r="H93" s="11"/>
      <c r="I93" s="10" t="str">
        <f aca="false">IF(H93="","",IF(H93&gt;G93,H93-G93,0))</f>
        <v/>
      </c>
      <c r="J93" s="10" t="str">
        <f aca="false">IF(H93="","",IF(H93&lt;G93,G93-H93,0))</f>
        <v/>
      </c>
      <c r="K93" s="12"/>
    </row>
    <row r="94" customFormat="false" ht="15" hidden="false" customHeight="false" outlineLevel="0" collapsed="false">
      <c r="A94" s="7" t="n">
        <v>82</v>
      </c>
      <c r="B94" s="7" t="s">
        <v>242</v>
      </c>
      <c r="C94" s="8" t="s">
        <v>243</v>
      </c>
      <c r="D94" s="7" t="s">
        <v>29</v>
      </c>
      <c r="E94" s="7" t="s">
        <v>277</v>
      </c>
      <c r="F94" s="9"/>
      <c r="G94" s="10" t="n">
        <v>1920</v>
      </c>
      <c r="H94" s="11"/>
      <c r="I94" s="10" t="str">
        <f aca="false">IF(H94="","",IF(H94&gt;G94,H94-G94,0))</f>
        <v/>
      </c>
      <c r="J94" s="10" t="str">
        <f aca="false">IF(H94="","",IF(H94&lt;G94,G94-H94,0))</f>
        <v/>
      </c>
      <c r="K94" s="12"/>
    </row>
    <row r="95" customFormat="false" ht="26.85" hidden="false" customHeight="false" outlineLevel="0" collapsed="false">
      <c r="A95" s="7" t="n">
        <v>83</v>
      </c>
      <c r="B95" s="7" t="s">
        <v>278</v>
      </c>
      <c r="C95" s="8" t="s">
        <v>279</v>
      </c>
      <c r="D95" s="7" t="s">
        <v>81</v>
      </c>
      <c r="E95" s="7" t="s">
        <v>82</v>
      </c>
      <c r="F95" s="9"/>
      <c r="G95" s="10" t="n">
        <v>200</v>
      </c>
      <c r="H95" s="11"/>
      <c r="I95" s="10" t="str">
        <f aca="false">IF(H95="","",IF(H95&gt;G95,H95-G95,0))</f>
        <v/>
      </c>
      <c r="J95" s="10" t="str">
        <f aca="false">IF(H95="","",IF(H95&lt;G95,G95-H95,0))</f>
        <v/>
      </c>
      <c r="K95" s="12"/>
    </row>
    <row r="96" customFormat="false" ht="15" hidden="false" customHeight="false" outlineLevel="0" collapsed="false">
      <c r="A96" s="7" t="n">
        <v>84</v>
      </c>
      <c r="B96" s="7" t="s">
        <v>280</v>
      </c>
      <c r="C96" s="8" t="s">
        <v>281</v>
      </c>
      <c r="D96" s="7" t="s">
        <v>81</v>
      </c>
      <c r="E96" s="7" t="s">
        <v>282</v>
      </c>
      <c r="F96" s="9"/>
      <c r="G96" s="10" t="n">
        <v>20</v>
      </c>
      <c r="H96" s="11"/>
      <c r="I96" s="10" t="str">
        <f aca="false">IF(H96="","",IF(H96&gt;G96,H96-G96,0))</f>
        <v/>
      </c>
      <c r="J96" s="10" t="str">
        <f aca="false">IF(H96="","",IF(H96&lt;G96,G96-H96,0))</f>
        <v/>
      </c>
      <c r="K96" s="12"/>
    </row>
    <row r="97" customFormat="false" ht="15" hidden="false" customHeight="false" outlineLevel="0" collapsed="false">
      <c r="A97" s="7" t="n">
        <v>85</v>
      </c>
      <c r="B97" s="7" t="s">
        <v>283</v>
      </c>
      <c r="C97" s="8" t="s">
        <v>284</v>
      </c>
      <c r="D97" s="7" t="s">
        <v>29</v>
      </c>
      <c r="E97" s="7" t="s">
        <v>285</v>
      </c>
      <c r="F97" s="9"/>
      <c r="G97" s="10" t="n">
        <v>21600</v>
      </c>
      <c r="H97" s="11"/>
      <c r="I97" s="10" t="str">
        <f aca="false">IF(H97="","",IF(H97&gt;G97,H97-G97,0))</f>
        <v/>
      </c>
      <c r="J97" s="10" t="str">
        <f aca="false">IF(H97="","",IF(H97&lt;G97,G97-H97,0))</f>
        <v/>
      </c>
      <c r="K97" s="12"/>
    </row>
    <row r="98" customFormat="false" ht="15" hidden="false" customHeight="false" outlineLevel="0" collapsed="false">
      <c r="A98" s="7" t="n">
        <v>86</v>
      </c>
      <c r="B98" s="7" t="s">
        <v>286</v>
      </c>
      <c r="C98" s="8" t="s">
        <v>287</v>
      </c>
      <c r="D98" s="7" t="s">
        <v>221</v>
      </c>
      <c r="E98" s="7" t="s">
        <v>288</v>
      </c>
      <c r="F98" s="9"/>
      <c r="G98" s="10" t="n">
        <v>724</v>
      </c>
      <c r="H98" s="11"/>
      <c r="I98" s="10" t="str">
        <f aca="false">IF(H98="","",IF(H98&gt;G98,H98-G98,0))</f>
        <v/>
      </c>
      <c r="J98" s="10" t="str">
        <f aca="false">IF(H98="","",IF(H98&lt;G98,G98-H98,0))</f>
        <v/>
      </c>
      <c r="K98" s="12"/>
    </row>
    <row r="99" customFormat="false" ht="15" hidden="false" customHeight="false" outlineLevel="0" collapsed="false">
      <c r="A99" s="7" t="n">
        <v>87</v>
      </c>
      <c r="B99" s="7" t="s">
        <v>286</v>
      </c>
      <c r="C99" s="8" t="s">
        <v>287</v>
      </c>
      <c r="D99" s="7" t="s">
        <v>221</v>
      </c>
      <c r="E99" s="7" t="s">
        <v>289</v>
      </c>
      <c r="F99" s="9"/>
      <c r="G99" s="10" t="n">
        <v>1276</v>
      </c>
      <c r="H99" s="11"/>
      <c r="I99" s="10" t="str">
        <f aca="false">IF(H99="","",IF(H99&gt;G99,H99-G99,0))</f>
        <v/>
      </c>
      <c r="J99" s="10" t="str">
        <f aca="false">IF(H99="","",IF(H99&lt;G99,G99-H99,0))</f>
        <v/>
      </c>
      <c r="K99" s="12"/>
    </row>
    <row r="100" customFormat="false" ht="15" hidden="false" customHeight="false" outlineLevel="0" collapsed="false">
      <c r="A100" s="13" t="s">
        <v>290</v>
      </c>
      <c r="B100" s="13"/>
      <c r="C100" s="13"/>
      <c r="D100" s="13"/>
      <c r="E100" s="13"/>
      <c r="F100" s="13"/>
      <c r="G100" s="14" t="n">
        <f aca="false">SUM(G13:G99)</f>
        <v>516571</v>
      </c>
      <c r="H100" s="14" t="n">
        <f aca="false">SUM(H13:H99)</f>
        <v>0</v>
      </c>
      <c r="I100" s="14" t="n">
        <f aca="false">SUM(I13:I99)</f>
        <v>0</v>
      </c>
      <c r="J100" s="14" t="n">
        <f aca="false">SUM(J13:J99)</f>
        <v>0</v>
      </c>
      <c r="K100" s="15"/>
    </row>
    <row r="103" customFormat="false" ht="15" hidden="false" customHeight="false" outlineLevel="0" collapsed="false">
      <c r="A103" s="16" t="s">
        <v>291</v>
      </c>
      <c r="B103" s="16"/>
      <c r="C103" s="16"/>
      <c r="D103" s="16"/>
      <c r="E103" s="16"/>
      <c r="F103" s="16"/>
      <c r="G103" s="16"/>
      <c r="H103" s="16"/>
      <c r="I103" s="16"/>
      <c r="J103" s="16"/>
      <c r="K103" s="16"/>
    </row>
    <row r="105" customFormat="false" ht="15" hidden="false" customHeight="false" outlineLevel="0" collapsed="false">
      <c r="A105" s="17" t="s">
        <v>292</v>
      </c>
      <c r="B105" s="17"/>
      <c r="C105" s="17"/>
      <c r="E105" s="17" t="s">
        <v>293</v>
      </c>
      <c r="F105" s="17"/>
      <c r="G105" s="17"/>
      <c r="H105" s="17" t="s">
        <v>294</v>
      </c>
      <c r="I105" s="17"/>
      <c r="J105" s="17"/>
    </row>
    <row r="106" customFormat="false" ht="15" hidden="false" customHeight="false" outlineLevel="0" collapsed="false">
      <c r="A106" s="18" t="s">
        <v>295</v>
      </c>
      <c r="B106" s="18"/>
      <c r="C106" s="18"/>
      <c r="E106" s="18" t="s">
        <v>295</v>
      </c>
      <c r="F106" s="18"/>
      <c r="G106" s="18"/>
      <c r="H106" s="18" t="s">
        <v>295</v>
      </c>
      <c r="I106" s="18"/>
      <c r="J106" s="18"/>
    </row>
    <row r="109" customFormat="false" ht="15" hidden="false" customHeight="false" outlineLevel="0" collapsed="false">
      <c r="A109" s="19" t="s">
        <v>296</v>
      </c>
      <c r="B109" s="19"/>
      <c r="C109" s="19"/>
      <c r="D109" s="19"/>
      <c r="E109" s="19"/>
      <c r="F109" s="19"/>
      <c r="G109" s="19"/>
      <c r="H109" s="19"/>
      <c r="I109" s="19"/>
      <c r="J109" s="19"/>
      <c r="K109" s="19"/>
    </row>
  </sheetData>
  <mergeCells count="22">
    <mergeCell ref="A1:E1"/>
    <mergeCell ref="A2:E2"/>
    <mergeCell ref="A4:K4"/>
    <mergeCell ref="A6:B6"/>
    <mergeCell ref="C6:K6"/>
    <mergeCell ref="A7:B7"/>
    <mergeCell ref="C7:K7"/>
    <mergeCell ref="A8:B8"/>
    <mergeCell ref="C8:K8"/>
    <mergeCell ref="A9:B9"/>
    <mergeCell ref="C9:K9"/>
    <mergeCell ref="A10:B10"/>
    <mergeCell ref="C10:K10"/>
    <mergeCell ref="A100:F100"/>
    <mergeCell ref="A103:K103"/>
    <mergeCell ref="A105:C105"/>
    <mergeCell ref="E105:G105"/>
    <mergeCell ref="H105:J105"/>
    <mergeCell ref="A106:C106"/>
    <mergeCell ref="E106:G106"/>
    <mergeCell ref="H106:J106"/>
    <mergeCell ref="A109:K10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2026-09-01T02:56:27Z</dcterms:created>
  <dc:creator>openpyxl</dc:creator>
  <dc:description/>
  <dc:language>en-US</dc:language>
  <cp:lastModifiedBy/>
  <dcterms:modified xsi:type="dcterms:W3CDTF">2026-09-01T02:56:27Z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